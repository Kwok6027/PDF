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8f15f551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 Sep 2026" sheetId="1" r:id="R217b3f6911484bf8"/>
    <x:sheet xmlns:r="http://schemas.openxmlformats.org/officeDocument/2006/relationships" name="SOFR Inputs" sheetId="2" r:id="Rd37ce6ba965a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;[Red](0.0000);–"/>
    <x:numFmt numFmtId="201" formatCode="0.0000&quot;%&quot;;[Red](0.0000&quot;%&quot;);-"/>
    <x:numFmt numFmtId="202" formatCode="0.0000;[Red](0.0000);-"/>
  </x:numFmts>
  <x:fonts count="13">
    <x:font>
      <x:sz val="11"/>
      <x:name val="Carlito"/>
    </x:font>
    <x:font>
      <x:b/>
      <x:sz val="17"/>
      <x:color rgb="FFFFFFFF"/>
      <x:name val="Carlito"/>
    </x:font>
    <x:font>
      <x:sz val="10"/>
      <x:color rgb="FF264766"/>
      <x:name val="Carlito"/>
    </x:font>
    <x:font>
      <x:sz val="9"/>
      <x:color rgb="FF6B7280"/>
      <x:name val="Carlito"/>
    </x:font>
    <x:font>
      <x:b/>
      <x:sz val="10"/>
      <x:color rgb="FFFFFFFF"/>
      <x:name val="Carlito"/>
    </x:font>
    <x:font>
      <x:sz val="11"/>
      <x:color rgb="FF1C2933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  <x:font>
      <x:sz val="11"/>
      <x:color rgb="FF44546A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2A43"/>
      </x:patternFill>
    </x:fill>
    <x:fill>
      <x:patternFill patternType="solid">
        <x:fgColor rgb="FFEAF4FB"/>
      </x:patternFill>
    </x:fill>
    <x:fill>
      <x:patternFill patternType="solid">
        <x:fgColor rgb="FFEFF5F8"/>
      </x:patternFill>
    </x:fill>
    <x:fill>
      <x:patternFill patternType="solid">
        <x:fgColor rgb="FFF3F4F6"/>
      </x:patternFill>
    </x:fill>
    <x:fill>
      <x:patternFill patternType="solid">
        <x:fgColor rgb="FF1C5374"/>
      </x:patternFill>
    </x:fill>
    <x:fill>
      <x:patternFill patternType="solid">
        <x:fgColor rgb="FFFFF2B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right"/>
    </x:xf>
    <x:xf numFmtId="0" fontId="6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horizontal="right"/>
    </x:xf>
    <x:xf numFmtId="0" fontId="6" fillId="7" borderId="1" xfId="0" applyNumberFormat="1" applyFont="1" applyFill="1" applyBorder="1" applyAlignment="1">
      <x:alignment horizontal="right"/>
    </x:xf>
    <x:xf numFmtId="0" fontId="7" fillId="7" borderId="1" xfId="0" applyNumberFormat="1" applyFont="1" applyFill="1" applyBorder="1" applyAlignment="1">
      <x:alignment horizontal="right"/>
    </x:xf>
    <x:xf numFmtId="200" fontId="7" fillId="7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201" fontId="12" fillId="9" borderId="0" xfId="0" applyNumberFormat="1" applyFont="1" applyFill="1" applyBorder="1"/>
    <x:xf numFmtId="202" fontId="0" fillId="0" borderId="0" xfId="0" applyNumberFormat="1" applyFont="1" applyFill="1" applyBorder="1"/>
    <x:xf numFmtId="202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20008390b4981" /><Relationship Type="http://schemas.openxmlformats.org/officeDocument/2006/relationships/theme" Target="/xl/theme/theme1.xml" Id="R589c64c49f8b44f1" /><Relationship Type="http://schemas.openxmlformats.org/officeDocument/2006/relationships/sharedStrings" Target="/xl/sharedStrings.xml" Id="Rbbd8336519a845dc" /><Relationship Type="http://schemas.openxmlformats.org/officeDocument/2006/relationships/worksheet" Target="/xl/worksheets/sheet1.xml" Id="R217b3f6911484bf8" /><Relationship Type="http://schemas.openxmlformats.org/officeDocument/2006/relationships/worksheet" Target="/xl/worksheets/sheet2.xml" Id="Rd37ce6ba965a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7" hidden="0" customWidth="1"/>
    <x:col min="4" max="4" width="31" hidden="0" customWidth="1"/>
    <x:col min="5" max="5" width="32" hidden="0" customWidth="1"/>
  </x:cols>
  <x:sheetData>
    <x:row r="1" ht="34" customHeight="1">
      <x:c r="A1" s="4" t="str">
        <x:v>USD funding spread curve | 30 September 2026</x:v>
      </x:c>
      <x:c r="B1" s="4"/>
      <x:c r="C1" s="4"/>
      <x:c r="D1" s="4"/>
    </x:row>
    <x:row r="2" ht="24" customHeight="1">
      <x:c r="A2" s="10" t="str">
        <x:v>Three editable inputs only: 121 bps (O/N), 171 bps (7M), 151 bps (7Y).</x:v>
      </x:c>
      <x:c r="B2" s="10"/>
      <x:c r="C2" s="10"/>
      <x:c r="D2" s="10"/>
    </x:row>
    <x:row r="3" ht="24" customHeight="1">
      <x:c r="A3" s="16" t="str">
        <x:v>Same cumulative-average method as 2022; monthly and multi-year intervals are weighted by bucket length.</x:v>
      </x:c>
      <x:c r="B3" s="16"/>
      <x:c r="C3" s="16"/>
      <x:c r="D3" s="16"/>
    </x:row>
    <x:row r="4" ht="24" customHeight="1">
      <x:c r="A4" s="22" t="str">
        <x:v>Illustrative zero-spread averages. Enter actual SOFR forward rates on SOFR Inputs to populate column E.</x:v>
      </x:c>
      <x:c r="B4" s="22"/>
      <x:c r="C4" s="22"/>
      <x:c r="D4" s="22"/>
    </x:row>
    <x:row r="5" ht="29" customHeight="1">
      <x:c r="A5" s="29" t="str">
        <x:v>Tenor</x:v>
      </x:c>
      <x:c r="B5" s="29" t="str">
        <x:v>Spread before average (bps)</x:v>
      </x:c>
      <x:c r="C5" s="29" t="str">
        <x:v>Suggested spread (bps)</x:v>
      </x:c>
      <x:c r="D5" s="29" t="str">
        <x:v>Implied forward spread (bps)</x:v>
      </x:c>
      <x:c r="E5" t="str">
        <x:v>All-in forward funding rate (%)</x:v>
      </x:c>
    </x:row>
    <x:row r="6" ht="25" customHeight="1">
      <x:c r="A6" s="35" t="str">
        <x:v>O/N</x:v>
      </x:c>
      <x:c r="B6" s="46" t="n">
        <x:v>121</x:v>
      </x:c>
      <x:c r="C6" s="47" t="n">
        <x:f>B6</x:f>
        <x:v>121</x:v>
      </x:c>
      <x:c r="D6" s="47" t="n">
        <x:f>B6</x:f>
        <x:v>121</x:v>
      </x:c>
      <x:c r="E6" s="50" t="str">
        <x:f>IF('SOFR Inputs'!B6="","",'SOFR Inputs'!B6+D6/100)</x:f>
      </x:c>
    </x:row>
    <x:row r="7" ht="20" customHeight="1">
      <x:c r="A7" s="35" t="str">
        <x:v>2W</x:v>
      </x:c>
      <x:c r="B7" s="47" t="n">
        <x:f>$B$6</x:f>
        <x:v>121</x:v>
      </x:c>
      <x:c r="C7" s="47" t="n">
        <x:f>(C6*(1/365)+B7*(((2*7/365))-(1/365)))/((2*7/365))</x:f>
        <x:v>120.99999999999997</x:v>
      </x:c>
      <x:c r="D7" s="47" t="n">
        <x:f>(C7*((2*7/365))-C6*(1/365))/(((2*7/365))-(1/365))</x:f>
        <x:v>121</x:v>
      </x:c>
      <x:c r="E7" s="50" t="str">
        <x:f>IF('SOFR Inputs'!B7="","",'SOFR Inputs'!B7+D7/100)</x:f>
      </x:c>
    </x:row>
    <x:row r="8" ht="20" customHeight="1">
      <x:c r="A8" s="35" t="str">
        <x:v>3W</x:v>
      </x:c>
      <x:c r="B8" s="47" t="n">
        <x:f>$B$6</x:f>
        <x:v>121</x:v>
      </x:c>
      <x:c r="C8" s="47" t="n">
        <x:f>(C7*((2*7/365))+B8*(((3*7/365))-((2*7/365))))/((3*7/365))</x:f>
        <x:v>120.99999999999997</x:v>
      </x:c>
      <x:c r="D8" s="47" t="n">
        <x:f>(C8*((3*7/365))-C7*((2*7/365)))/(((3*7/365))-((2*7/365)))</x:f>
        <x:v>120.99999999999997</x:v>
      </x:c>
      <x:c r="E8" s="50" t="str">
        <x:f>IF('SOFR Inputs'!B8="","",'SOFR Inputs'!B8+D8/100)</x:f>
      </x:c>
    </x:row>
    <x:row r="9" ht="20" customHeight="1">
      <x:c r="A9" s="35" t="str">
        <x:v>1M</x:v>
      </x:c>
      <x:c r="B9" s="47" t="n">
        <x:f>$B$6</x:f>
        <x:v>121</x:v>
      </x:c>
      <x:c r="C9" s="47" t="n">
        <x:f>(C8*((3*7/365))+B9*(((1/12))-((3*7/365))))/((1/12))</x:f>
        <x:v>120.99999999999999</x:v>
      </x:c>
      <x:c r="D9" s="47" t="n">
        <x:f>(C9*((1/12))-C8*((3*7/365)))/(((1/12))-((3*7/365)))</x:f>
        <x:v>121.00000000000003</x:v>
      </x:c>
      <x:c r="E9" s="50" t="str">
        <x:f>IF('SOFR Inputs'!B9="","",'SOFR Inputs'!B9+D9/100)</x:f>
      </x:c>
    </x:row>
    <x:row r="10" ht="20" customHeight="1">
      <x:c r="A10" s="35" t="str">
        <x:v>2M</x:v>
      </x:c>
      <x:c r="B10" s="47" t="n">
        <x:f>$B$6</x:f>
        <x:v>121</x:v>
      </x:c>
      <x:c r="C10" s="47" t="n">
        <x:f>(C9*((1/12))+B10*(((2/12))-((1/12))))/((2/12))</x:f>
        <x:v>120.99999999999999</x:v>
      </x:c>
      <x:c r="D10" s="47" t="n">
        <x:f>(C10*((2/12))-C9*((1/12)))/(((2/12))-((1/12)))</x:f>
        <x:v>120.99999999999999</x:v>
      </x:c>
      <x:c r="E10" s="50" t="str">
        <x:f>IF('SOFR Inputs'!B10="","",'SOFR Inputs'!B10+D10/100)</x:f>
      </x:c>
    </x:row>
    <x:row r="11" ht="20" customHeight="1">
      <x:c r="A11" s="35" t="str">
        <x:v>3M</x:v>
      </x:c>
      <x:c r="B11" s="47" t="n">
        <x:f>$B$6</x:f>
        <x:v>121</x:v>
      </x:c>
      <x:c r="C11" s="47" t="n">
        <x:f>(C10*((2/12))+B11*(((3/12))-((2/12))))/((3/12))</x:f>
        <x:v>121</x:v>
      </x:c>
      <x:c r="D11" s="47" t="n">
        <x:f>(C11*((3/12))-C10*((2/12)))/(((3/12))-((2/12)))</x:f>
        <x:v>121.00000000000001</x:v>
      </x:c>
      <x:c r="E11" s="50" t="str">
        <x:f>IF('SOFR Inputs'!B11="","",'SOFR Inputs'!B11+D11/100)</x:f>
      </x:c>
    </x:row>
    <x:row r="12" ht="20" customHeight="1">
      <x:c r="A12" s="35" t="str">
        <x:v>4M</x:v>
      </x:c>
      <x:c r="B12" s="47" t="n">
        <x:f>$B$6</x:f>
        <x:v>121</x:v>
      </x:c>
      <x:c r="C12" s="47" t="n">
        <x:f>(C11*((3/12))+B12*(((4/12))-((3/12))))/((4/12))</x:f>
        <x:v>120.99999999999999</x:v>
      </x:c>
      <x:c r="D12" s="47" t="n">
        <x:f>(C12*((4/12))-C11*((3/12)))/(((4/12))-((3/12)))</x:f>
        <x:v>120.99999999999997</x:v>
      </x:c>
      <x:c r="E12" s="50" t="str">
        <x:f>IF('SOFR Inputs'!B12="","",'SOFR Inputs'!B12+D12/100)</x:f>
      </x:c>
    </x:row>
    <x:row r="13" ht="20" customHeight="1">
      <x:c r="A13" s="35" t="str">
        <x:v>5M</x:v>
      </x:c>
      <x:c r="B13" s="47" t="n">
        <x:f>$B$6</x:f>
        <x:v>121</x:v>
      </x:c>
      <x:c r="C13" s="47" t="n">
        <x:f>(C12*((4/12))+B13*(((5/12))-((4/12))))/((5/12))</x:f>
        <x:v>120.99999999999999</x:v>
      </x:c>
      <x:c r="D13" s="47" t="n">
        <x:f>(C13*((5/12))-C12*((4/12)))/(((5/12))-((4/12)))</x:f>
        <x:v>120.99999999999997</x:v>
      </x:c>
      <x:c r="E13" s="50" t="str">
        <x:f>IF('SOFR Inputs'!B13="","",'SOFR Inputs'!B13+D13/100)</x:f>
      </x:c>
    </x:row>
    <x:row r="14" ht="20" customHeight="1">
      <x:c r="A14" s="35" t="str">
        <x:v>6M</x:v>
      </x:c>
      <x:c r="B14" s="47" t="n">
        <x:f>$B$6</x:f>
        <x:v>121</x:v>
      </x:c>
      <x:c r="C14" s="47" t="n">
        <x:f>(C13*((5/12))+B14*(((6/12))-((5/12))))/((6/12))</x:f>
        <x:v>120.99999999999999</x:v>
      </x:c>
      <x:c r="D14" s="47" t="n">
        <x:f>(C14*((6/12))-C13*((5/12)))/(((6/12))-((5/12)))</x:f>
        <x:v>120.99999999999997</x:v>
      </x:c>
      <x:c r="E14" s="50" t="str">
        <x:f>IF('SOFR Inputs'!B14="","",'SOFR Inputs'!B14+D14/100)</x:f>
      </x:c>
    </x:row>
    <x:row r="15" ht="25" customHeight="1">
      <x:c r="A15" s="35" t="str">
        <x:v>7M</x:v>
      </x:c>
      <x:c r="B15" s="46" t="n">
        <x:v>171</x:v>
      </x:c>
      <x:c r="C15" s="47" t="n">
        <x:f>(C14*((6/12))+B15*(((7/12))-((6/12))))/((7/12))</x:f>
        <x:v>128.14285714285714</x:v>
      </x:c>
      <x:c r="D15" s="47" t="n">
        <x:f>(C15*((7/12))-C14*((6/12)))/(((7/12))-((6/12)))</x:f>
        <x:v>171</x:v>
      </x:c>
      <x:c r="E15" s="50" t="str">
        <x:f>IF('SOFR Inputs'!B15="","",'SOFR Inputs'!B15+D15/100)</x:f>
      </x:c>
    </x:row>
    <x:row r="16" ht="20" customHeight="1">
      <x:c r="A16" s="35" t="str">
        <x:v>8M</x:v>
      </x:c>
      <x:c r="B16" s="47" t="n">
        <x:f>$B$15</x:f>
        <x:v>171</x:v>
      </x:c>
      <x:c r="C16" s="47" t="n">
        <x:f>(C15*((7/12))+B16*(((8/12))-((7/12))))/((8/12))</x:f>
        <x:v>133.5</x:v>
      </x:c>
      <x:c r="D16" s="47" t="n">
        <x:f>(C16*((8/12))-C15*((7/12)))/(((8/12))-((7/12)))</x:f>
        <x:v>171.00000000000014</x:v>
      </x:c>
      <x:c r="E16" s="50" t="str">
        <x:f>IF('SOFR Inputs'!B16="","",'SOFR Inputs'!B16+D16/100)</x:f>
      </x:c>
    </x:row>
    <x:row r="17" ht="20" customHeight="1">
      <x:c r="A17" s="35" t="str">
        <x:v>9M</x:v>
      </x:c>
      <x:c r="B17" s="47" t="n">
        <x:f>$B$15</x:f>
        <x:v>171</x:v>
      </x:c>
      <x:c r="C17" s="47" t="n">
        <x:f>(C16*((8/12))+B17*(((9/12))-((8/12))))/((9/12))</x:f>
        <x:v>137.66666666666666</x:v>
      </x:c>
      <x:c r="D17" s="47" t="n">
        <x:f>(C17*((9/12))-C16*((8/12)))/(((9/12))-((8/12)))</x:f>
        <x:v>170.99999999999991</x:v>
      </x:c>
      <x:c r="E17" s="50" t="str">
        <x:f>IF('SOFR Inputs'!B17="","",'SOFR Inputs'!B17+D17/100)</x:f>
      </x:c>
    </x:row>
    <x:row r="18" ht="20" customHeight="1">
      <x:c r="A18" s="35" t="str">
        <x:v>10M</x:v>
      </x:c>
      <x:c r="B18" s="47" t="n">
        <x:f>$B$15</x:f>
        <x:v>171</x:v>
      </x:c>
      <x:c r="C18" s="47" t="n">
        <x:f>(C17*((9/12))+B18*(((10/12))-((9/12))))/((10/12))</x:f>
        <x:v>141</x:v>
      </x:c>
      <x:c r="D18" s="47" t="n">
        <x:f>(C18*((10/12))-C17*((9/12)))/(((10/12))-((9/12)))</x:f>
        <x:v>170.99999999999991</x:v>
      </x:c>
      <x:c r="E18" s="50" t="str">
        <x:f>IF('SOFR Inputs'!B18="","",'SOFR Inputs'!B18+D18/100)</x:f>
      </x:c>
    </x:row>
    <x:row r="19" ht="20" customHeight="1">
      <x:c r="A19" s="35" t="str">
        <x:v>11M</x:v>
      </x:c>
      <x:c r="B19" s="47" t="n">
        <x:f>$B$15</x:f>
        <x:v>171</x:v>
      </x:c>
      <x:c r="C19" s="47" t="n">
        <x:f>(C18*((10/12))+B19*(((11/12))-((10/12))))/((11/12))</x:f>
        <x:v>143.72727272727272</x:v>
      </x:c>
      <x:c r="D19" s="47" t="n">
        <x:f>(C19*((11/12))-C18*((10/12)))/(((11/12))-((10/12)))</x:f>
        <x:v>171.00000000000014</x:v>
      </x:c>
      <x:c r="E19" s="50" t="str">
        <x:f>IF('SOFR Inputs'!B19="","",'SOFR Inputs'!B19+D19/100)</x:f>
      </x:c>
    </x:row>
    <x:row r="20" ht="20" customHeight="1">
      <x:c r="A20" s="35" t="str">
        <x:v>1Y</x:v>
      </x:c>
      <x:c r="B20" s="47" t="n">
        <x:f>$B$15</x:f>
        <x:v>171</x:v>
      </x:c>
      <x:c r="C20" s="47" t="n">
        <x:f>(C19*((11/12))+B20*((1)-((11/12))))/(1)</x:f>
        <x:v>146</x:v>
      </x:c>
      <x:c r="D20" s="47" t="n">
        <x:f>(C20*(1)-C19*((11/12)))/((1)-((11/12)))</x:f>
        <x:v>170.99999999999991</x:v>
      </x:c>
      <x:c r="E20" s="50" t="str">
        <x:f>IF('SOFR Inputs'!B20="","",'SOFR Inputs'!B20+D20/100)</x:f>
      </x:c>
    </x:row>
    <x:row r="21" ht="20" customHeight="1">
      <x:c r="A21" s="35" t="str">
        <x:v>2Y</x:v>
      </x:c>
      <x:c r="B21" s="47" t="n">
        <x:f>$B$15</x:f>
        <x:v>171</x:v>
      </x:c>
      <x:c r="C21" s="47" t="n">
        <x:f>(C20*(1)+B21*((2)-(1)))/(2)</x:f>
        <x:v>158.5</x:v>
      </x:c>
      <x:c r="D21" s="47" t="n">
        <x:f>(C21*(2)-C20*(1))/((2)-(1))</x:f>
        <x:v>171</x:v>
      </x:c>
      <x:c r="E21" s="50" t="str">
        <x:f>IF('SOFR Inputs'!B21="","",'SOFR Inputs'!B21+D21/100)</x:f>
      </x:c>
    </x:row>
    <x:row r="22" ht="20" customHeight="1">
      <x:c r="A22" s="35" t="str">
        <x:v>3Y</x:v>
      </x:c>
      <x:c r="B22" s="47" t="n">
        <x:f>$B$15</x:f>
        <x:v>171</x:v>
      </x:c>
      <x:c r="C22" s="47" t="n">
        <x:f>(C21*(2)+B22*((3)-(2)))/(3)</x:f>
        <x:v>162.66666666666666</x:v>
      </x:c>
      <x:c r="D22" s="47" t="n">
        <x:f>(C22*(3)-C21*(2))/((3)-(2))</x:f>
        <x:v>171</x:v>
      </x:c>
      <x:c r="E22" s="50" t="str">
        <x:f>IF('SOFR Inputs'!B22="","",'SOFR Inputs'!B22+D22/100)</x:f>
      </x:c>
    </x:row>
    <x:row r="23" ht="20" customHeight="1">
      <x:c r="A23" s="35" t="str">
        <x:v>4Y</x:v>
      </x:c>
      <x:c r="B23" s="47" t="n">
        <x:f>$B$15</x:f>
        <x:v>171</x:v>
      </x:c>
      <x:c r="C23" s="47" t="n">
        <x:f>(C22*(3)+B23*((4)-(3)))/(4)</x:f>
        <x:v>164.75</x:v>
      </x:c>
      <x:c r="D23" s="47" t="n">
        <x:f>(C23*(4)-C22*(3))/((4)-(3))</x:f>
        <x:v>171</x:v>
      </x:c>
      <x:c r="E23" s="50" t="str">
        <x:f>IF('SOFR Inputs'!B23="","",'SOFR Inputs'!B23+D23/100)</x:f>
      </x:c>
    </x:row>
    <x:row r="24" ht="20" customHeight="1">
      <x:c r="A24" s="35" t="str">
        <x:v>5Y</x:v>
      </x:c>
      <x:c r="B24" s="47" t="n">
        <x:f>$B$15</x:f>
        <x:v>171</x:v>
      </x:c>
      <x:c r="C24" s="47" t="n">
        <x:f>(C23*(4)+B24*((5)-(4)))/(5)</x:f>
        <x:v>166</x:v>
      </x:c>
      <x:c r="D24" s="47" t="n">
        <x:f>(C24*(5)-C23*(4))/((5)-(4))</x:f>
        <x:v>171</x:v>
      </x:c>
      <x:c r="E24" s="50" t="str">
        <x:f>IF('SOFR Inputs'!B24="","",'SOFR Inputs'!B24+D24/100)</x:f>
      </x:c>
    </x:row>
    <x:row r="25" ht="20" customHeight="1">
      <x:c r="A25" s="35" t="str">
        <x:v>6Y</x:v>
      </x:c>
      <x:c r="B25" s="47" t="n">
        <x:f>$B$15</x:f>
        <x:v>171</x:v>
      </x:c>
      <x:c r="C25" s="47" t="n">
        <x:f>(C24*(5)+B25*((6)-(5)))/(6)</x:f>
        <x:v>166.83333333333334</x:v>
      </x:c>
      <x:c r="D25" s="47" t="n">
        <x:f>(C25*(6)-C24*(5))/((6)-(5))</x:f>
        <x:v>171</x:v>
      </x:c>
      <x:c r="E25" s="50" t="str">
        <x:f>IF('SOFR Inputs'!B25="","",'SOFR Inputs'!B25+D25/100)</x:f>
      </x:c>
    </x:row>
    <x:row r="26" ht="25" customHeight="1">
      <x:c r="A26" s="35" t="str">
        <x:v>7Y</x:v>
      </x:c>
      <x:c r="B26" s="46" t="n">
        <x:v>151</x:v>
      </x:c>
      <x:c r="C26" s="47" t="n">
        <x:f>(C25*(6)+B26*((7)-(6)))/(7)</x:f>
        <x:v>164.57142857142858</x:v>
      </x:c>
      <x:c r="D26" s="47" t="n">
        <x:f>(C26*(7)-C25*(6))/((7)-(6))</x:f>
        <x:v>151</x:v>
      </x:c>
      <x:c r="E26" s="50" t="str">
        <x:f>IF('SOFR Inputs'!B26="","",'SOFR Inputs'!B26+D26/100)</x:f>
      </x:c>
    </x:row>
    <x:row r="27" ht="20" customHeight="1">
      <x:c r="A27" s="35" t="str">
        <x:v>8Y</x:v>
      </x:c>
      <x:c r="B27" s="47" t="n">
        <x:f>$B$26</x:f>
        <x:v>151</x:v>
      </x:c>
      <x:c r="C27" s="47" t="n">
        <x:f>(C26*(7)+B27*((8)-(7)))/(8)</x:f>
        <x:v>162.875</x:v>
      </x:c>
      <x:c r="D27" s="47" t="n">
        <x:f>(C27*(8)-C26*(7))/((8)-(7))</x:f>
        <x:v>151</x:v>
      </x:c>
      <x:c r="E27" s="50" t="str">
        <x:f>IF('SOFR Inputs'!B27="","",'SOFR Inputs'!B27+D27/100)</x:f>
      </x:c>
    </x:row>
    <x:row r="28" ht="20" customHeight="1">
      <x:c r="A28" s="35" t="str">
        <x:v>9Y</x:v>
      </x:c>
      <x:c r="B28" s="47" t="n">
        <x:f>$B$26</x:f>
        <x:v>151</x:v>
      </x:c>
      <x:c r="C28" s="47" t="n">
        <x:f>(C27*(8)+B28*((9)-(8)))/(9)</x:f>
        <x:v>161.55555555555554</x:v>
      </x:c>
      <x:c r="D28" s="47" t="n">
        <x:f>(C28*(9)-C27*(8))/((9)-(8))</x:f>
        <x:v>151</x:v>
      </x:c>
      <x:c r="E28" s="50" t="str">
        <x:f>IF('SOFR Inputs'!B28="","",'SOFR Inputs'!B28+D28/100)</x:f>
      </x:c>
    </x:row>
    <x:row r="29" ht="20" customHeight="1">
      <x:c r="A29" s="35" t="str">
        <x:v>10Y</x:v>
      </x:c>
      <x:c r="B29" s="47" t="n">
        <x:f>$B$26</x:f>
        <x:v>151</x:v>
      </x:c>
      <x:c r="C29" s="47" t="n">
        <x:f>(C28*(9)+B29*((10)-(9)))/(10)</x:f>
        <x:v>160.5</x:v>
      </x:c>
      <x:c r="D29" s="47" t="n">
        <x:f>(C29*(10)-C28*(9))/((10)-(9))</x:f>
        <x:v>151</x:v>
      </x:c>
      <x:c r="E29" s="50" t="str">
        <x:f>IF('SOFR Inputs'!B29="","",'SOFR Inputs'!B29+D29/100)</x:f>
      </x:c>
    </x:row>
    <x:row r="30" ht="20" customHeight="1">
      <x:c r="A30" s="35" t="str">
        <x:v>12Y</x:v>
      </x:c>
      <x:c r="B30" s="47" t="n">
        <x:f>$B$26</x:f>
        <x:v>151</x:v>
      </x:c>
      <x:c r="C30" s="47" t="n">
        <x:f>(C29*(10)+B30*((12)-(10)))/(12)</x:f>
        <x:v>158.91666666666666</x:v>
      </x:c>
      <x:c r="D30" s="47" t="n">
        <x:f>(C30*(12)-C29*(10))/((12)-(10))</x:f>
        <x:v>151</x:v>
      </x:c>
      <x:c r="E30" s="50" t="str">
        <x:f>IF('SOFR Inputs'!B30="","",'SOFR Inputs'!B30+D30/100)</x:f>
      </x:c>
    </x:row>
    <x:row r="31" ht="20" customHeight="1">
      <x:c r="A31" s="35" t="str">
        <x:v>15Y</x:v>
      </x:c>
      <x:c r="B31" s="47" t="n">
        <x:f>$B$26</x:f>
        <x:v>151</x:v>
      </x:c>
      <x:c r="C31" s="47" t="n">
        <x:f>(C30*(12)+B31*((15)-(12)))/(15)</x:f>
        <x:v>157.33333333333334</x:v>
      </x:c>
      <x:c r="D31" s="47" t="n">
        <x:f>(C31*(15)-C30*(12))/((15)-(12))</x:f>
        <x:v>151</x:v>
      </x:c>
      <x:c r="E31" s="50" t="str">
        <x:f>IF('SOFR Inputs'!B31="","",'SOFR Inputs'!B31+D31/100)</x:f>
      </x:c>
    </x:row>
    <x:row r="32" ht="20" customHeight="1">
      <x:c r="A32" s="35" t="str">
        <x:v>20Y</x:v>
      </x:c>
      <x:c r="B32" s="47" t="n">
        <x:f>$B$26</x:f>
        <x:v>151</x:v>
      </x:c>
      <x:c r="C32" s="47" t="n">
        <x:f>(C31*(15)+B32*((20)-(15)))/(20)</x:f>
        <x:v>155.75</x:v>
      </x:c>
      <x:c r="D32" s="47" t="n">
        <x:f>(C32*(20)-C31*(15))/((20)-(15))</x:f>
        <x:v>151</x:v>
      </x:c>
      <x:c r="E32" s="50" t="str">
        <x:f>IF('SOFR Inputs'!B32="","",'SOFR Inputs'!B32+D32/100)</x:f>
      </x:c>
    </x:row>
    <x:row r="33" ht="20" customHeight="1">
      <x:c r="A33" s="35" t="str">
        <x:v>25Y</x:v>
      </x:c>
      <x:c r="B33" s="47" t="n">
        <x:f>$B$26</x:f>
        <x:v>151</x:v>
      </x:c>
      <x:c r="C33" s="47" t="n">
        <x:f>(C32*(20)+B33*((25)-(20)))/(25)</x:f>
        <x:v>154.8</x:v>
      </x:c>
      <x:c r="D33" s="47" t="n">
        <x:f>(C33*(25)-C32*(20))/((25)-(20))</x:f>
        <x:v>151.00000000000009</x:v>
      </x:c>
      <x:c r="E33" s="50" t="str">
        <x:f>IF('SOFR Inputs'!B33="","",'SOFR Inputs'!B33+D33/100)</x:f>
      </x:c>
    </x:row>
    <x:row r="34" ht="20" customHeight="1">
      <x:c r="A34" s="35" t="str">
        <x:v>30Y</x:v>
      </x:c>
      <x:c r="B34" s="47" t="n">
        <x:f>$B$26</x:f>
        <x:v>151</x:v>
      </x:c>
      <x:c r="C34" s="47" t="n">
        <x:f>(C33*(25)+B34*((30)-(25)))/(30)</x:f>
        <x:v>154.16666666666666</x:v>
      </x:c>
      <x:c r="D34" s="47" t="n">
        <x:f>(C34*(30)-C33*(25))/((30)-(25))</x:f>
        <x:v>150.99999999999991</x:v>
      </x:c>
      <x:c r="E34" s="50" t="str">
        <x:f>IF('SOFR Inputs'!B34="","",'SOFR Inputs'!B34+D34/100)</x:f>
      </x:c>
    </x:row>
    <x:row r="35" ht="20" customHeight="1">
      <x:c r="A35" s="35" t="str">
        <x:v>40Y</x:v>
      </x:c>
      <x:c r="B35" s="47" t="n">
        <x:f>$B$26</x:f>
        <x:v>151</x:v>
      </x:c>
      <x:c r="C35" s="47" t="n">
        <x:f>(C34*(30)+B35*((40)-(30)))/(40)</x:f>
        <x:v>153.375</x:v>
      </x:c>
      <x:c r="D35" s="47" t="n">
        <x:f>(C35*(40)-C34*(30))/((40)-(30))</x:f>
        <x:v>151</x:v>
      </x:c>
      <x:c r="E35" s="50" t="str">
        <x:f>IF('SOFR Inputs'!B35="","",'SOFR Inputs'!B35+D35/100)</x:f>
      </x:c>
    </x:row>
    <x:row r="36" ht="20" customHeight="1">
      <x:c r="A36" s="35" t="str">
        <x:v>50Y</x:v>
      </x:c>
      <x:c r="B36" s="47" t="n">
        <x:f>$B$26</x:f>
        <x:v>151</x:v>
      </x:c>
      <x:c r="C36" s="47" t="n">
        <x:f>(C35*(40)+B36*((50)-(40)))/(50)</x:f>
        <x:v>152.9</x:v>
      </x:c>
      <x:c r="D36" s="47" t="n">
        <x:f>(C36*(50)-C35*(40))/((50)-(40))</x:f>
        <x:v>151</x:v>
      </x:c>
      <x:c r="E36" s="50" t="str">
        <x:f>IF('SOFR Inputs'!B36="","",'SOFR Inputs'!B36+D36/100)</x:f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34" hidden="0" customWidth="1"/>
  </x:cols>
  <x:sheetData>
    <x:row r="1" ht="30" customHeight="1">
      <x:c r="A1" s="53" t="str">
        <x:v>UNDERLYING SOFR FORWARD RATE INPUTS</x:v>
      </x:c>
      <x:c r="B1" s="53"/>
      <x:c r="C1" s="53"/>
    </x:row>
    <x:row r="2" ht="24" customHeight="1">
      <x:c r="A2" s="54" t="str">
        <x:v>Paste SOFR forward rates for each interval, in percent: e.g., 3.9000 means 3.9%.</x:v>
      </x:c>
      <x:c r="B2" s="54"/>
      <x:c r="C2" s="54"/>
    </x:row>
    <x:row r="3" ht="24" customHeight="1">
      <x:c r="A3" s="54" t="str">
        <x:v>Do not enter spot swap par market quotes here; they are not forward SOFR rates.</x:v>
      </x:c>
      <x:c r="B3" s="54"/>
      <x:c r="C3" s="54"/>
    </x:row>
    <x:row r="4" ht="24" customHeight="1">
      <x:c r="A4" s="54" t="str">
        <x:v>All-in forward funding rate = SOFR forward (%) + implied forward spread (bps) / 100.</x:v>
      </x:c>
      <x:c r="B4" s="54"/>
      <x:c r="C4" s="54"/>
    </x:row>
    <x:row r="5" ht="32" customHeight="1">
      <x:c r="A5" s="57" t="str">
        <x:v>Tenor</x:v>
      </x:c>
      <x:c r="B5" s="57" t="str">
        <x:v>SOFR forward rate (%) [INPUT]</x:v>
      </x:c>
      <x:c r="C5" s="57" t="str">
        <x:v>Funding spread (bps) [linked]</x:v>
      </x:c>
    </x:row>
    <x:row r="6">
      <x:c r="A6" t="str">
        <x:v>O/N</x:v>
      </x:c>
      <x:c r="B6" s="60"/>
      <x:c r="C6" s="62" t="n">
        <x:f>'30 Sep 2026'!D6</x:f>
        <x:v>121</x:v>
      </x:c>
    </x:row>
    <x:row r="7">
      <x:c r="A7" t="str">
        <x:v>2W</x:v>
      </x:c>
      <x:c r="B7" s="60"/>
      <x:c r="C7" s="62" t="n">
        <x:f>'30 Sep 2026'!D7</x:f>
        <x:v>121</x:v>
      </x:c>
    </x:row>
    <x:row r="8">
      <x:c r="A8" t="str">
        <x:v>3W</x:v>
      </x:c>
      <x:c r="B8" s="60"/>
      <x:c r="C8" s="62" t="n">
        <x:f>'30 Sep 2026'!D8</x:f>
        <x:v>120.99999999999997</x:v>
      </x:c>
    </x:row>
    <x:row r="9">
      <x:c r="A9" t="str">
        <x:v>1M</x:v>
      </x:c>
      <x:c r="B9" s="60"/>
      <x:c r="C9" s="62" t="n">
        <x:f>'30 Sep 2026'!D9</x:f>
        <x:v>121.00000000000003</x:v>
      </x:c>
    </x:row>
    <x:row r="10">
      <x:c r="A10" t="str">
        <x:v>2M</x:v>
      </x:c>
      <x:c r="B10" s="60"/>
      <x:c r="C10" s="62" t="n">
        <x:f>'30 Sep 2026'!D10</x:f>
        <x:v>120.99999999999999</x:v>
      </x:c>
    </x:row>
    <x:row r="11">
      <x:c r="A11" t="str">
        <x:v>3M</x:v>
      </x:c>
      <x:c r="B11" s="60"/>
      <x:c r="C11" s="62" t="n">
        <x:f>'30 Sep 2026'!D11</x:f>
        <x:v>121.00000000000001</x:v>
      </x:c>
    </x:row>
    <x:row r="12">
      <x:c r="A12" t="str">
        <x:v>4M</x:v>
      </x:c>
      <x:c r="B12" s="60"/>
      <x:c r="C12" s="62" t="n">
        <x:f>'30 Sep 2026'!D12</x:f>
        <x:v>120.99999999999997</x:v>
      </x:c>
    </x:row>
    <x:row r="13">
      <x:c r="A13" t="str">
        <x:v>5M</x:v>
      </x:c>
      <x:c r="B13" s="60"/>
      <x:c r="C13" s="62" t="n">
        <x:f>'30 Sep 2026'!D13</x:f>
        <x:v>120.99999999999997</x:v>
      </x:c>
    </x:row>
    <x:row r="14">
      <x:c r="A14" t="str">
        <x:v>6M</x:v>
      </x:c>
      <x:c r="B14" s="60"/>
      <x:c r="C14" s="62" t="n">
        <x:f>'30 Sep 2026'!D14</x:f>
        <x:v>120.99999999999997</x:v>
      </x:c>
    </x:row>
    <x:row r="15">
      <x:c r="A15" t="str">
        <x:v>7M</x:v>
      </x:c>
      <x:c r="B15" s="60"/>
      <x:c r="C15" s="62" t="n">
        <x:f>'30 Sep 2026'!D15</x:f>
        <x:v>171</x:v>
      </x:c>
    </x:row>
    <x:row r="16">
      <x:c r="A16" t="str">
        <x:v>8M</x:v>
      </x:c>
      <x:c r="B16" s="60"/>
      <x:c r="C16" s="62" t="n">
        <x:f>'30 Sep 2026'!D16</x:f>
        <x:v>171.00000000000014</x:v>
      </x:c>
    </x:row>
    <x:row r="17">
      <x:c r="A17" t="str">
        <x:v>9M</x:v>
      </x:c>
      <x:c r="B17" s="60"/>
      <x:c r="C17" s="62" t="n">
        <x:f>'30 Sep 2026'!D17</x:f>
        <x:v>170.99999999999991</x:v>
      </x:c>
    </x:row>
    <x:row r="18">
      <x:c r="A18" t="str">
        <x:v>10M</x:v>
      </x:c>
      <x:c r="B18" s="60"/>
      <x:c r="C18" s="62" t="n">
        <x:f>'30 Sep 2026'!D18</x:f>
        <x:v>170.99999999999991</x:v>
      </x:c>
    </x:row>
    <x:row r="19">
      <x:c r="A19" t="str">
        <x:v>11M</x:v>
      </x:c>
      <x:c r="B19" s="60"/>
      <x:c r="C19" s="62" t="n">
        <x:f>'30 Sep 2026'!D19</x:f>
        <x:v>171.00000000000014</x:v>
      </x:c>
    </x:row>
    <x:row r="20">
      <x:c r="A20" t="str">
        <x:v>1Y</x:v>
      </x:c>
      <x:c r="B20" s="60"/>
      <x:c r="C20" s="62" t="n">
        <x:f>'30 Sep 2026'!D20</x:f>
        <x:v>170.99999999999991</x:v>
      </x:c>
    </x:row>
    <x:row r="21">
      <x:c r="A21" t="str">
        <x:v>2Y</x:v>
      </x:c>
      <x:c r="B21" s="60"/>
      <x:c r="C21" s="62" t="n">
        <x:f>'30 Sep 2026'!D21</x:f>
        <x:v>171</x:v>
      </x:c>
    </x:row>
    <x:row r="22">
      <x:c r="A22" t="str">
        <x:v>3Y</x:v>
      </x:c>
      <x:c r="B22" s="60"/>
      <x:c r="C22" s="62" t="n">
        <x:f>'30 Sep 2026'!D22</x:f>
        <x:v>171</x:v>
      </x:c>
    </x:row>
    <x:row r="23">
      <x:c r="A23" t="str">
        <x:v>4Y</x:v>
      </x:c>
      <x:c r="B23" s="60"/>
      <x:c r="C23" s="62" t="n">
        <x:f>'30 Sep 2026'!D23</x:f>
        <x:v>171</x:v>
      </x:c>
    </x:row>
    <x:row r="24">
      <x:c r="A24" t="str">
        <x:v>5Y</x:v>
      </x:c>
      <x:c r="B24" s="60"/>
      <x:c r="C24" s="62" t="n">
        <x:f>'30 Sep 2026'!D24</x:f>
        <x:v>171</x:v>
      </x:c>
    </x:row>
    <x:row r="25">
      <x:c r="A25" t="str">
        <x:v>6Y</x:v>
      </x:c>
      <x:c r="B25" s="60"/>
      <x:c r="C25" s="62" t="n">
        <x:f>'30 Sep 2026'!D25</x:f>
        <x:v>171</x:v>
      </x:c>
    </x:row>
    <x:row r="26">
      <x:c r="A26" t="str">
        <x:v>7Y</x:v>
      </x:c>
      <x:c r="B26" s="60"/>
      <x:c r="C26" s="62" t="n">
        <x:f>'30 Sep 2026'!D26</x:f>
        <x:v>151</x:v>
      </x:c>
    </x:row>
    <x:row r="27">
      <x:c r="A27" t="str">
        <x:v>8Y</x:v>
      </x:c>
      <x:c r="B27" s="60"/>
      <x:c r="C27" s="62" t="n">
        <x:f>'30 Sep 2026'!D27</x:f>
        <x:v>151</x:v>
      </x:c>
    </x:row>
    <x:row r="28">
      <x:c r="A28" t="str">
        <x:v>9Y</x:v>
      </x:c>
      <x:c r="B28" s="60"/>
      <x:c r="C28" s="62" t="n">
        <x:f>'30 Sep 2026'!D28</x:f>
        <x:v>151</x:v>
      </x:c>
    </x:row>
    <x:row r="29">
      <x:c r="A29" t="str">
        <x:v>10Y</x:v>
      </x:c>
      <x:c r="B29" s="60"/>
      <x:c r="C29" s="62" t="n">
        <x:f>'30 Sep 2026'!D29</x:f>
        <x:v>151</x:v>
      </x:c>
    </x:row>
    <x:row r="30">
      <x:c r="A30" t="str">
        <x:v>12Y</x:v>
      </x:c>
      <x:c r="B30" s="60"/>
      <x:c r="C30" s="62" t="n">
        <x:f>'30 Sep 2026'!D30</x:f>
        <x:v>151</x:v>
      </x:c>
    </x:row>
    <x:row r="31">
      <x:c r="A31" t="str">
        <x:v>15Y</x:v>
      </x:c>
      <x:c r="B31" s="60"/>
      <x:c r="C31" s="62" t="n">
        <x:f>'30 Sep 2026'!D31</x:f>
        <x:v>151</x:v>
      </x:c>
    </x:row>
    <x:row r="32">
      <x:c r="A32" t="str">
        <x:v>20Y</x:v>
      </x:c>
      <x:c r="B32" s="60"/>
      <x:c r="C32" s="62" t="n">
        <x:f>'30 Sep 2026'!D32</x:f>
        <x:v>151</x:v>
      </x:c>
    </x:row>
    <x:row r="33">
      <x:c r="A33" t="str">
        <x:v>25Y</x:v>
      </x:c>
      <x:c r="B33" s="60"/>
      <x:c r="C33" s="62" t="n">
        <x:f>'30 Sep 2026'!D33</x:f>
        <x:v>151.00000000000009</x:v>
      </x:c>
    </x:row>
    <x:row r="34">
      <x:c r="A34" t="str">
        <x:v>30Y</x:v>
      </x:c>
      <x:c r="B34" s="60"/>
      <x:c r="C34" s="62" t="n">
        <x:f>'30 Sep 2026'!D34</x:f>
        <x:v>150.99999999999991</x:v>
      </x:c>
    </x:row>
    <x:row r="35">
      <x:c r="A35" t="str">
        <x:v>40Y</x:v>
      </x:c>
      <x:c r="B35" s="60"/>
      <x:c r="C35" s="62" t="n">
        <x:f>'30 Sep 2026'!D35</x:f>
        <x:v>151</x:v>
      </x:c>
    </x:row>
    <x:row r="36">
      <x:c r="A36" t="str">
        <x:v>50Y</x:v>
      </x:c>
      <x:c r="B36" s="60"/>
      <x:c r="C36" s="62" t="n">
        <x:f>'30 Sep 2026'!D36</x:f>
        <x:v>151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</x:worksheet>
</file>