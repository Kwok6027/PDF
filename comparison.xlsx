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ketData" sheetId="1" state="visible" r:id="rId3"/>
    <sheet name="Bootstrap" sheetId="2" state="visible" r:id="rId4"/>
    <sheet name="Curve" sheetId="3" state="visible" r:id="rId5"/>
    <sheet name="Interpolation" sheetId="4" state="visible" r:id="rId6"/>
    <sheet name="Methodology" sheetId="5" state="visible" r:id="rId7"/>
    <sheet name="Pandora vs APCEX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<sst xmlns="http://schemas.openxmlformats.org/spreadsheetml/2006/main" count="180" uniqueCount="151">
  <si>
    <t xml:space="preserve">MARKET DATA  —  USD SOFR curve  (THE ONLY HARD-CODED SHEET)</t>
  </si>
  <si>
    <t xml:space="preserve">All other sheets are formula-driven and reference this sheet.</t>
  </si>
  <si>
    <t xml:space="preserve">Valuation date</t>
  </si>
  <si>
    <t xml:space="preserve">Spot date (T+2)</t>
  </si>
  <si>
    <t xml:space="preserve">Day count / Lookback</t>
  </si>
  <si>
    <t xml:space="preserve">ACT/360  |  5 business-day lag (compounded SOFR)</t>
  </si>
  <si>
    <t xml:space="preserve">1)  OVERNIGHT  (SOFR O/N — discounts valuation date to first FOMC step)</t>
  </si>
  <si>
    <t xml:space="preserve">Tenor</t>
  </si>
  <si>
    <t xml:space="preserve">Start</t>
  </si>
  <si>
    <t xml:space="preserve">End</t>
  </si>
  <si>
    <t xml:space="preserve">Rate</t>
  </si>
  <si>
    <t xml:space="preserve">1D</t>
  </si>
  <si>
    <t xml:space="preserve">2)  FOMC-DATED STEP QUOTES  (near-term SOFR path)</t>
  </si>
  <si>
    <t xml:space="preserve">3)  EUSD QUARTERLY SOFR FUTURES  (price + convexity; covers 2027-06 → 2029-06)</t>
  </si>
  <si>
    <t xml:space="preserve">Contract</t>
  </si>
  <si>
    <t xml:space="preserve">IMM Start</t>
  </si>
  <si>
    <t xml:space="preserve">IMM End</t>
  </si>
  <si>
    <t xml:space="preserve">Price</t>
  </si>
  <si>
    <t xml:space="preserve">Convexity (%)</t>
  </si>
  <si>
    <t xml:space="preserve">JUN27</t>
  </si>
  <si>
    <t xml:space="preserve">SEP27</t>
  </si>
  <si>
    <t xml:space="preserve">DEC27</t>
  </si>
  <si>
    <t xml:space="preserve">MAR28</t>
  </si>
  <si>
    <t xml:space="preserve">JUN28</t>
  </si>
  <si>
    <t xml:space="preserve">SEP28</t>
  </si>
  <si>
    <t xml:space="preserve">DEC28</t>
  </si>
  <si>
    <t xml:space="preserve">MAR29</t>
  </si>
  <si>
    <t xml:space="preserve">4)  PAR SOFR SWAPS  (annual, ACT/360)</t>
  </si>
  <si>
    <t xml:space="preserve">Tenor (Y)</t>
  </si>
  <si>
    <t xml:space="preserve">Maturity</t>
  </si>
  <si>
    <t xml:space="preserve">Par Rate</t>
  </si>
  <si>
    <t xml:space="preserve">5)  PANDORA CURVE  (reference output — for comparison only)</t>
  </si>
  <si>
    <t xml:space="preserve">Date</t>
  </si>
  <si>
    <t xml:space="preserve">Pandora DF</t>
  </si>
  <si>
    <t xml:space="preserve">Pandora Forward</t>
  </si>
  <si>
    <t xml:space="preserve">BOOTSTRAP  —  SOFR curve built from MarketData (all formulas)</t>
  </si>
  <si>
    <t xml:space="preserve">FRONT  —  O/N + FOMC steps   (exact:  DF = previous DF / (1 + rate × τ),  ACT/360)</t>
  </si>
  <si>
    <t xml:space="preserve">Node date</t>
  </si>
  <si>
    <t xml:space="preserve">Prev date</t>
  </si>
  <si>
    <t xml:space="preserve">Days</t>
  </si>
  <si>
    <t xml:space="preserve">τ (ACT/360)</t>
  </si>
  <si>
    <t xml:space="preserve">DF</t>
  </si>
  <si>
    <t xml:space="preserve">← anchor (last step rate extended to first IMM date)</t>
  </si>
  <si>
    <t xml:space="preserve">FUTURES  —  EUSD chain   (Fwd = (100 − Price − Convexity)/100;  DF telescopes from the front)</t>
  </si>
  <si>
    <t xml:space="preserve">Conv (%)</t>
  </si>
  <si>
    <t xml:space="preserve">Fwd</t>
  </si>
  <si>
    <t xml:space="preserve">τ</t>
  </si>
  <si>
    <t xml:space="preserve">DF(start)</t>
  </si>
  <si>
    <t xml:space="preserve">DF(end)</t>
  </si>
  <si>
    <t xml:space="preserve">SWAP SOLVES  —  close out the long end (annual fixed leg from spot, ACT/360; 5Y added as sentinel node)</t>
  </si>
  <si>
    <t xml:space="preserve">Spot date</t>
  </si>
  <si>
    <t xml:space="preserve">Spot DF</t>
  </si>
  <si>
    <t xml:space="preserve">Fixed date</t>
  </si>
  <si>
    <t xml:space="preserve">← 4Y par solve  (DF at 2030 maturity)</t>
  </si>
  <si>
    <t xml:space="preserve">← 5Y par solve  (sentinel)</t>
  </si>
  <si>
    <t xml:space="preserve">CURVE NODES (sorted)  —  the interpolation grid (log-linear on ln DF) used by the Curve and Interpolation sheets</t>
  </si>
  <si>
    <t xml:space="preserve">Time (yrs, ACT/360)</t>
  </si>
  <si>
    <t xml:space="preserve">ln(DF)</t>
  </si>
  <si>
    <t xml:space="preserve">CURVE  —  discount factor &amp; forward rate for every date, vs Pandora</t>
  </si>
  <si>
    <t xml:space="preserve">DF: log-linear on ln DF over the Bootstrap node grid.  Forward: compounded SOFR with 5-business-day lag  (WORKDAY −5).</t>
  </si>
  <si>
    <t xml:space="preserve">Time</t>
  </si>
  <si>
    <t xml:space="preserve">My DF</t>
  </si>
  <si>
    <t xml:space="preserve">Δ zero (bp)
mine−Pandora</t>
  </si>
  <si>
    <t xml:space="preserve">Next date</t>
  </si>
  <si>
    <t xml:space="preserve">Lag start</t>
  </si>
  <si>
    <t xml:space="preserve">Lag end</t>
  </si>
  <si>
    <t xml:space="preserve">DF(lag start)</t>
  </si>
  <si>
    <t xml:space="preserve">DF(lag end)</t>
  </si>
  <si>
    <t xml:space="preserve">My Forward</t>
  </si>
  <si>
    <t xml:space="preserve">Pandora Fwd</t>
  </si>
  <si>
    <t xml:space="preserve">Δ fwd (bp)
mine−Pandora</t>
  </si>
  <si>
    <t xml:space="preserve">Mean |Δ zero| (bp)</t>
  </si>
  <si>
    <t xml:space="preserve">Max  |Δ zero| (bp)</t>
  </si>
  <si>
    <t xml:space="preserve">Mean |Δ fwd| (bp)</t>
  </si>
  <si>
    <t xml:space="preserve">Max  |Δ fwd| (bp)</t>
  </si>
  <si>
    <t xml:space="preserve">INTERPOLATION TEMPLATE  —  enter any date(s); everything else is a formula</t>
  </si>
  <si>
    <t xml:space="preserve">Blue cells are inputs you can change.  All outputs interpolate the Bootstrap node grid (log-linear on ln DF).</t>
  </si>
  <si>
    <t xml:space="preserve">A)  DISCOUNT FACTOR  —  enter a date</t>
  </si>
  <si>
    <t xml:space="preserve">Input date</t>
  </si>
  <si>
    <t xml:space="preserve">Time (yrs)</t>
  </si>
  <si>
    <t xml:space="preserve">Discount factor</t>
  </si>
  <si>
    <t xml:space="preserve">Zero rate (cont, ACT/360)</t>
  </si>
  <si>
    <t xml:space="preserve">B)  FORWARD RATE  —  enter start &amp; end date   (compounded SOFR forward, 5-business-day lag)</t>
  </si>
  <si>
    <t xml:space="preserve">Forward (5bd lag)</t>
  </si>
  <si>
    <t xml:space="preserve">Forward (no lag)</t>
  </si>
  <si>
    <t xml:space="preserve">Row 1 (2028-06-20 → 2030-06-20) is the cancellation window: its compounded forward ≈ the rate that matters for the 2028 exercise decision.</t>
  </si>
  <si>
    <t xml:space="preserve">METHODOLOGY  —  how this workbook reproduces Pandora, and where it differs</t>
  </si>
  <si>
    <t xml:space="preserve">1. Single SOFR curve</t>
  </si>
  <si>
    <t xml:space="preserve">Discount = projection. Forwards are read straight off the discount factors:  fwd = (DF_start / DF_end − 1) / τ  (ACT/360).</t>
  </si>
  <si>
    <t xml:space="preserve">Verified: implied forwards from Pandora's own DFs match Pandora's printed forwards to &lt; 0.3 bp.</t>
  </si>
  <si>
    <t xml:space="preserve">2. Instrument set &amp; calibration</t>
  </si>
  <si>
    <t xml:space="preserve">Front: O/N (SOFR 1D) + 8 FOMC-dated step quotes, bootstrapped exactly (DF = prevDF/(1+rate·τ)).</t>
  </si>
  <si>
    <t xml:space="preserve">Middle: 8 EUSD quarterly futures, convexity-adjusted  fwd = (100 − price − convexity)/100,  DF telescoping.</t>
  </si>
  <si>
    <t xml:space="preserve">Long end: par swaps. The 4Y is solved closed-form for DF(2030); the 5Y is solved as a sentinel node.</t>
  </si>
  <si>
    <t xml:space="preserve">Pandora itself reprices this set to 0–5 bp; the XML tags the curve "Iterative" = a global simultaneous solve.</t>
  </si>
  <si>
    <t xml:space="preserve">3. Five-business-day lookback (Lag)</t>
  </si>
  <si>
    <t xml:space="preserve">Forwards use compounded SOFR observed over a window shifted back 5 business days (Excel WORKDAY(date,−5)).</t>
  </si>
  <si>
    <t xml:space="preserve">Replicated: the 5bd shift cuts the mean forward error from 0.090 bp to 0.029 bp (worst case −0.30 → −0.04 bp).</t>
  </si>
  <si>
    <t xml:space="preserve">4. Interpolation</t>
  </si>
  <si>
    <t xml:space="preserve">Pandora uses a SMOOTH CUBIC interpolation. Holding out monthly DFs and predicting them from quarterly DFs:</t>
  </si>
  <si>
    <t xml:space="preserve">     log-linear DF</t>
  </si>
  <si>
    <t xml:space="preserve">RMS 6.2e-6   (this workbook)</t>
  </si>
  <si>
    <t xml:space="preserve">     linear zero</t>
  </si>
  <si>
    <t xml:space="preserve">RMS 10.8e-6</t>
  </si>
  <si>
    <t xml:space="preserve">     cubic spline / monotone-cubic</t>
  </si>
  <si>
    <t xml:space="preserve">RMS 1.4e-6   (Pandora's method)</t>
  </si>
  <si>
    <t xml:space="preserve">This workbook uses LOG-LINEAR (transparent, robust, no matrix/iterative formulas).</t>
  </si>
  <si>
    <t xml:space="preserve">Tested: over THIS bootstrap's nodes, cubic vs log-linear give the SAME Pandora match (within ~1 bp) — because the</t>
  </si>
  <si>
    <t xml:space="preserve">2029-30 forward shape comes from the global multi-swap fit, not the interpolation, so cubic interpolation alone</t>
  </si>
  <si>
    <t xml:space="preserve">does not close the gap. The global iterative cubic solve is not expressible in plain spreadsheet formulas.</t>
  </si>
  <si>
    <t xml:space="preserve">5. Accuracy vs Pandora (see Curve sheet)</t>
  </si>
  <si>
    <t xml:space="preserve">Discount factors:  ~0–1.6 bp  (hump peaks in the futures region, ~0 at the front and at the 4Y node).</t>
  </si>
  <si>
    <t xml:space="preserve">Forwards:  ~2 bp on average, up to ~4 bp in the smooth 2029-30 gap (log-linear gives a flat forward there).</t>
  </si>
  <si>
    <t xml:space="preserve">The residual is (a) convexity — Pandora prices the futures slightly richer than the stated adjustment — and</t>
  </si>
  <si>
    <t xml:space="preserve">(b) the global cubic fit to 4Y–12Y. A Python global-spline calibration closes it to ~0.5–1 bp; that requires an</t>
  </si>
  <si>
    <t xml:space="preserve">iterative solver. Everything here is plain formulas, so the honest formula-driven match is ~1.5 bp (DF) / ~2 bp (fwd).</t>
  </si>
  <si>
    <t xml:space="preserve">6. Not investment advice</t>
  </si>
  <si>
    <t xml:space="preserve">A curve reconstruction from the published market quotes for analysis; not an official valuation.</t>
  </si>
  <si>
    <t xml:space="preserve">PAR-RATE COMPARISON  —  Pandora curve  vs  APCEXO, at the APCEXO tenors</t>
  </si>
  <si>
    <t xml:space="preserve">Pandora par = repricing each APCEXO instrument (same conventions) off the Pandora discount factors interpolated from this workbook’s own node grid (log-linear on ln DF).  Δ = Pandora − APCEXO.</t>
  </si>
  <si>
    <t xml:space="preserve">Pandora is calibrated only to 5Y (last node 08-Jun-2031); APCEXO tenors beyond 5Y are not shown (they would only extrapolate Pandora).</t>
  </si>
  <si>
    <t xml:space="preserve">APCEXO par</t>
  </si>
  <si>
    <t xml:space="preserve">Pandora DF @ mat</t>
  </si>
  <si>
    <t xml:space="preserve">Pandora par</t>
  </si>
  <si>
    <t xml:space="preserve">Δ par (bp)</t>
  </si>
  <si>
    <t xml:space="preserve">time</t>
  </si>
  <si>
    <t xml:space="preserve">idx</t>
  </si>
  <si>
    <t xml:space="preserve">1M</t>
  </si>
  <si>
    <t xml:space="preserve">2M</t>
  </si>
  <si>
    <t xml:space="preserve">3M</t>
  </si>
  <si>
    <t xml:space="preserve">4M</t>
  </si>
  <si>
    <t xml:space="preserve">5M</t>
  </si>
  <si>
    <t xml:space="preserve">6M</t>
  </si>
  <si>
    <t xml:space="preserve">7M</t>
  </si>
  <si>
    <t xml:space="preserve">8M</t>
  </si>
  <si>
    <t xml:space="preserve">9M</t>
  </si>
  <si>
    <t xml:space="preserve">10M</t>
  </si>
  <si>
    <t xml:space="preserve">11M</t>
  </si>
  <si>
    <t xml:space="preserve">12M</t>
  </si>
  <si>
    <t xml:space="preserve">15M</t>
  </si>
  <si>
    <t xml:space="preserve">18M</t>
  </si>
  <si>
    <t xml:space="preserve">21M</t>
  </si>
  <si>
    <t xml:space="preserve">2Y</t>
  </si>
  <si>
    <t xml:space="preserve">3Y</t>
  </si>
  <si>
    <t xml:space="preserve">4Y</t>
  </si>
  <si>
    <t xml:space="preserve">5Y</t>
  </si>
  <si>
    <t xml:space="preserve">Pandora annual annuity grid (single-curve OIS coupons, years 1–5; DF read from the table above)</t>
  </si>
  <si>
    <t xml:space="preserve">Year</t>
  </si>
  <si>
    <t xml:space="preserve">Cum. annuity</t>
  </si>
  <si>
    <t xml:space="preserve">Mean |Δ par| (bp)</t>
  </si>
  <si>
    <t xml:space="preserve">Max |Δ par| (bp)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</si>
</sst>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yyyy\-mm\-dd"/>
    <numFmt numFmtId="166" formatCode="0.000000%"/>
    <numFmt numFmtId="167" formatCode="0.0000"/>
    <numFmt numFmtId="168" formatCode="0"/>
    <numFmt numFmtId="169" formatCode="0.0000000"/>
    <numFmt numFmtId="170" formatCode="0.000000"/>
    <numFmt numFmtId="171" formatCode="0.00"/>
    <numFmt numFmtId="172" formatCode="0.00000%"/>
    <numFmt numFmtId="173" formatCode="\+0.00;\-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DF2D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DF2D0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3"/>
    <col collapsed="false" customWidth="true" hidden="false" outlineLevel="0" max="4" min="4" style="0" width="11"/>
    <col collapsed="false" customWidth="true" hidden="false" outlineLevel="0" max="5" min="5" style="0" width="13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46177</v>
      </c>
    </row>
    <row r="5" customFormat="false" ht="15" hidden="false" customHeight="false" outlineLevel="0" collapsed="false">
      <c r="A5" s="3" t="s">
        <v>3</v>
      </c>
      <c r="B5" s="4" t="n">
        <v>46181</v>
      </c>
    </row>
    <row r="6" customFormat="false" ht="15" hidden="false" customHeight="false" outlineLevel="0" collapsed="false">
      <c r="A6" s="3" t="s">
        <v>4</v>
      </c>
      <c r="B6" s="5" t="s">
        <v>5</v>
      </c>
    </row>
    <row r="8" customFormat="false" ht="15" hidden="false" customHeight="false" outlineLevel="0" collapsed="false">
      <c r="A8" s="6" t="s">
        <v>6</v>
      </c>
    </row>
    <row r="10" customFormat="false" ht="15" hidden="false" customHeight="false" outlineLevel="0" collapsed="false">
      <c r="A10" s="7" t="s">
        <v>7</v>
      </c>
      <c r="B10" s="7" t="s">
        <v>8</v>
      </c>
      <c r="C10" s="7" t="s">
        <v>9</v>
      </c>
      <c r="D10" s="7" t="s">
        <v>10</v>
      </c>
    </row>
    <row r="11" customFormat="false" ht="15" hidden="false" customHeight="false" outlineLevel="0" collapsed="false">
      <c r="A11" s="8" t="s">
        <v>11</v>
      </c>
      <c r="B11" s="9" t="n">
        <v>46177</v>
      </c>
      <c r="C11" s="9" t="n">
        <v>46191</v>
      </c>
      <c r="D11" s="10" t="n">
        <v>0.035947</v>
      </c>
    </row>
    <row r="13" customFormat="false" ht="15" hidden="false" customHeight="false" outlineLevel="0" collapsed="false">
      <c r="A13" s="6" t="s">
        <v>12</v>
      </c>
    </row>
    <row r="14" customFormat="false" ht="15" hidden="false" customHeight="false" outlineLevel="0" collapsed="false">
      <c r="A14" s="7" t="s">
        <v>8</v>
      </c>
      <c r="B14" s="7" t="s">
        <v>9</v>
      </c>
      <c r="C14" s="7" t="s">
        <v>10</v>
      </c>
    </row>
    <row r="16" customFormat="false" ht="15" hidden="false" customHeight="false" outlineLevel="0" collapsed="false">
      <c r="A16" s="11" t="n">
        <v>46191</v>
      </c>
      <c r="B16" s="11" t="n">
        <v>46203</v>
      </c>
      <c r="C16" s="12" t="n">
        <v>0.036301</v>
      </c>
    </row>
    <row r="17" customFormat="false" ht="15" hidden="false" customHeight="false" outlineLevel="0" collapsed="false">
      <c r="A17" s="11" t="n">
        <v>46203</v>
      </c>
      <c r="B17" s="11" t="n">
        <v>46282</v>
      </c>
      <c r="C17" s="12" t="n">
        <v>0.036711</v>
      </c>
    </row>
    <row r="18" customFormat="false" ht="15" hidden="false" customHeight="false" outlineLevel="0" collapsed="false">
      <c r="A18" s="11" t="n">
        <v>46282</v>
      </c>
      <c r="B18" s="11" t="n">
        <v>46324</v>
      </c>
      <c r="C18" s="12" t="n">
        <v>0.037243</v>
      </c>
    </row>
    <row r="19" customFormat="false" ht="15" hidden="false" customHeight="false" outlineLevel="0" collapsed="false">
      <c r="A19" s="11" t="n">
        <v>46324</v>
      </c>
      <c r="B19" s="11" t="n">
        <v>46366</v>
      </c>
      <c r="C19" s="12" t="n">
        <v>0.037679</v>
      </c>
    </row>
    <row r="20" customFormat="false" ht="15" hidden="false" customHeight="false" outlineLevel="0" collapsed="false">
      <c r="A20" s="11" t="n">
        <v>46366</v>
      </c>
      <c r="B20" s="11" t="n">
        <v>46415</v>
      </c>
      <c r="C20" s="12" t="n">
        <v>0.038647</v>
      </c>
    </row>
    <row r="21" customFormat="false" ht="15" hidden="false" customHeight="false" outlineLevel="0" collapsed="false">
      <c r="A21" s="11" t="n">
        <v>46415</v>
      </c>
      <c r="B21" s="11" t="n">
        <v>46464</v>
      </c>
      <c r="C21" s="12" t="n">
        <v>0.038641</v>
      </c>
    </row>
    <row r="22" customFormat="false" ht="15" hidden="false" customHeight="false" outlineLevel="0" collapsed="false">
      <c r="A22" s="11" t="n">
        <v>46464</v>
      </c>
      <c r="B22" s="11" t="n">
        <v>46506</v>
      </c>
      <c r="C22" s="12" t="n">
        <v>0.039284</v>
      </c>
    </row>
    <row r="23" customFormat="false" ht="15" hidden="false" customHeight="false" outlineLevel="0" collapsed="false">
      <c r="A23" s="11" t="n">
        <v>46506</v>
      </c>
      <c r="B23" s="11" t="n">
        <v>46548</v>
      </c>
      <c r="C23" s="12" t="n">
        <v>0.039925</v>
      </c>
    </row>
    <row r="25" customFormat="false" ht="15" hidden="false" customHeight="false" outlineLevel="0" collapsed="false">
      <c r="A25" s="6" t="s">
        <v>13</v>
      </c>
    </row>
    <row r="26" customFormat="false" ht="15" hidden="false" customHeight="false" outlineLevel="0" collapsed="false">
      <c r="A26" s="7" t="s">
        <v>14</v>
      </c>
      <c r="B26" s="7" t="s">
        <v>15</v>
      </c>
      <c r="C26" s="7" t="s">
        <v>16</v>
      </c>
      <c r="D26" s="7" t="s">
        <v>17</v>
      </c>
      <c r="E26" s="7" t="s">
        <v>18</v>
      </c>
    </row>
    <row r="27" customFormat="false" ht="15" hidden="false" customHeight="false" outlineLevel="0" collapsed="false">
      <c r="A27" s="8" t="s">
        <v>19</v>
      </c>
      <c r="B27" s="11" t="n">
        <v>46554</v>
      </c>
      <c r="C27" s="11" t="n">
        <v>46645</v>
      </c>
      <c r="D27" s="13" t="n">
        <v>95.9993</v>
      </c>
      <c r="E27" s="13" t="n">
        <v>0.0035</v>
      </c>
    </row>
    <row r="28" customFormat="false" ht="15" hidden="false" customHeight="false" outlineLevel="0" collapsed="false">
      <c r="A28" s="8" t="s">
        <v>20</v>
      </c>
      <c r="B28" s="11" t="n">
        <v>46645</v>
      </c>
      <c r="C28" s="11" t="n">
        <v>46736</v>
      </c>
      <c r="D28" s="13" t="n">
        <v>96.0035</v>
      </c>
      <c r="E28" s="13" t="n">
        <v>0.0054</v>
      </c>
    </row>
    <row r="29" customFormat="false" ht="15" hidden="false" customHeight="false" outlineLevel="0" collapsed="false">
      <c r="A29" s="8" t="s">
        <v>21</v>
      </c>
      <c r="B29" s="11" t="n">
        <v>46736</v>
      </c>
      <c r="C29" s="11" t="n">
        <v>46827</v>
      </c>
      <c r="D29" s="13" t="n">
        <v>96.0252</v>
      </c>
      <c r="E29" s="13" t="n">
        <v>0.0079</v>
      </c>
    </row>
    <row r="30" customFormat="false" ht="15" hidden="false" customHeight="false" outlineLevel="0" collapsed="false">
      <c r="A30" s="8" t="s">
        <v>22</v>
      </c>
      <c r="B30" s="11" t="n">
        <v>46827</v>
      </c>
      <c r="C30" s="11" t="n">
        <v>46925</v>
      </c>
      <c r="D30" s="13" t="n">
        <v>96.0792</v>
      </c>
      <c r="E30" s="13" t="n">
        <v>0.0112</v>
      </c>
    </row>
    <row r="31" customFormat="false" ht="15" hidden="false" customHeight="false" outlineLevel="0" collapsed="false">
      <c r="A31" s="8" t="s">
        <v>23</v>
      </c>
      <c r="B31" s="11" t="n">
        <v>46925</v>
      </c>
      <c r="C31" s="11" t="n">
        <v>47016</v>
      </c>
      <c r="D31" s="13" t="n">
        <v>96.1217</v>
      </c>
      <c r="E31" s="13" t="n">
        <v>0.0154</v>
      </c>
    </row>
    <row r="32" customFormat="false" ht="15" hidden="false" customHeight="false" outlineLevel="0" collapsed="false">
      <c r="A32" s="8" t="s">
        <v>24</v>
      </c>
      <c r="B32" s="11" t="n">
        <v>47016</v>
      </c>
      <c r="C32" s="11" t="n">
        <v>47107</v>
      </c>
      <c r="D32" s="13" t="n">
        <v>96.1496</v>
      </c>
      <c r="E32" s="13" t="n">
        <v>0.0201</v>
      </c>
    </row>
    <row r="33" customFormat="false" ht="15" hidden="false" customHeight="false" outlineLevel="0" collapsed="false">
      <c r="A33" s="8" t="s">
        <v>25</v>
      </c>
      <c r="B33" s="11" t="n">
        <v>47107</v>
      </c>
      <c r="C33" s="11" t="n">
        <v>47198</v>
      </c>
      <c r="D33" s="13" t="n">
        <v>96.1468</v>
      </c>
      <c r="E33" s="13" t="n">
        <v>0.0257</v>
      </c>
    </row>
    <row r="34" customFormat="false" ht="15" hidden="false" customHeight="false" outlineLevel="0" collapsed="false">
      <c r="A34" s="8" t="s">
        <v>26</v>
      </c>
      <c r="B34" s="11" t="n">
        <v>47198</v>
      </c>
      <c r="C34" s="11" t="n">
        <v>47289</v>
      </c>
      <c r="D34" s="13" t="n">
        <v>96.1431</v>
      </c>
      <c r="E34" s="13" t="n">
        <v>0.0308</v>
      </c>
    </row>
    <row r="36" customFormat="false" ht="15" hidden="false" customHeight="false" outlineLevel="0" collapsed="false">
      <c r="A36" s="6" t="s">
        <v>27</v>
      </c>
    </row>
    <row r="37" customFormat="false" ht="15" hidden="false" customHeight="false" outlineLevel="0" collapsed="false">
      <c r="A37" s="7" t="s">
        <v>28</v>
      </c>
      <c r="B37" s="7" t="s">
        <v>29</v>
      </c>
      <c r="C37" s="7" t="s">
        <v>30</v>
      </c>
    </row>
    <row r="38" customFormat="false" ht="15" hidden="false" customHeight="false" outlineLevel="0" collapsed="false">
      <c r="A38" s="14" t="n">
        <v>4</v>
      </c>
      <c r="B38" s="11" t="n">
        <v>47642</v>
      </c>
      <c r="C38" s="12" t="n">
        <v>0.03911</v>
      </c>
    </row>
    <row r="39" customFormat="false" ht="15" hidden="false" customHeight="false" outlineLevel="0" collapsed="false">
      <c r="A39" s="14" t="n">
        <v>5</v>
      </c>
      <c r="B39" s="11" t="n">
        <v>48007</v>
      </c>
      <c r="C39" s="12" t="n">
        <v>0.039216</v>
      </c>
    </row>
    <row r="40" customFormat="false" ht="15" hidden="false" customHeight="false" outlineLevel="0" collapsed="false">
      <c r="A40" s="14" t="n">
        <v>6</v>
      </c>
      <c r="B40" s="11" t="n">
        <v>48373</v>
      </c>
      <c r="C40" s="12" t="n">
        <v>0.039468</v>
      </c>
    </row>
    <row r="41" customFormat="false" ht="15" hidden="false" customHeight="false" outlineLevel="0" collapsed="false">
      <c r="A41" s="14" t="n">
        <v>7</v>
      </c>
      <c r="B41" s="11" t="n">
        <v>48738</v>
      </c>
      <c r="C41" s="12" t="n">
        <v>0.039771</v>
      </c>
    </row>
    <row r="42" customFormat="false" ht="15" hidden="false" customHeight="false" outlineLevel="0" collapsed="false">
      <c r="A42" s="14" t="n">
        <v>8</v>
      </c>
      <c r="B42" s="11" t="n">
        <v>49103</v>
      </c>
      <c r="C42" s="12" t="n">
        <v>0.040086</v>
      </c>
    </row>
    <row r="43" customFormat="false" ht="15" hidden="false" customHeight="false" outlineLevel="0" collapsed="false">
      <c r="A43" s="14" t="n">
        <v>9</v>
      </c>
      <c r="B43" s="11" t="n">
        <v>49468</v>
      </c>
      <c r="C43" s="12" t="n">
        <v>0.040411</v>
      </c>
    </row>
    <row r="44" customFormat="false" ht="15" hidden="false" customHeight="false" outlineLevel="0" collapsed="false">
      <c r="A44" s="14" t="n">
        <v>10</v>
      </c>
      <c r="B44" s="11" t="n">
        <v>49834</v>
      </c>
      <c r="C44" s="12" t="n">
        <v>0.040746</v>
      </c>
    </row>
    <row r="45" customFormat="false" ht="15" hidden="false" customHeight="false" outlineLevel="0" collapsed="false">
      <c r="A45" s="14" t="n">
        <v>11</v>
      </c>
      <c r="B45" s="11" t="n">
        <v>50199</v>
      </c>
      <c r="C45" s="12" t="n">
        <v>0.041087</v>
      </c>
    </row>
    <row r="46" customFormat="false" ht="15" hidden="false" customHeight="false" outlineLevel="0" collapsed="false">
      <c r="A46" s="14" t="n">
        <v>12</v>
      </c>
      <c r="B46" s="11" t="n">
        <v>50564</v>
      </c>
      <c r="C46" s="12" t="n">
        <v>0.041423</v>
      </c>
    </row>
    <row r="49" customFormat="false" ht="15" hidden="false" customHeight="false" outlineLevel="0" collapsed="false">
      <c r="A49" s="6" t="s">
        <v>31</v>
      </c>
    </row>
    <row r="50" customFormat="false" ht="15" hidden="false" customHeight="false" outlineLevel="0" collapsed="false">
      <c r="A50" s="7" t="s">
        <v>32</v>
      </c>
      <c r="B50" s="7" t="s">
        <v>33</v>
      </c>
      <c r="C50" s="7" t="s">
        <v>34</v>
      </c>
    </row>
    <row r="51" customFormat="false" ht="15" hidden="false" customHeight="false" outlineLevel="0" collapsed="false">
      <c r="A51" s="11" t="n">
        <v>46195</v>
      </c>
      <c r="B51" s="15" t="n">
        <v>0.998201258</v>
      </c>
      <c r="C51" s="10" t="n">
        <v>0.0362363028</v>
      </c>
    </row>
    <row r="52" customFormat="false" ht="15" hidden="false" customHeight="false" outlineLevel="0" collapsed="false">
      <c r="A52" s="11" t="n">
        <v>46223</v>
      </c>
      <c r="B52" s="15" t="n">
        <v>0.995392835</v>
      </c>
      <c r="C52" s="10" t="n">
        <v>0.0364599575</v>
      </c>
    </row>
    <row r="53" customFormat="false" ht="15" hidden="false" customHeight="false" outlineLevel="0" collapsed="false">
      <c r="A53" s="11" t="n">
        <v>46254</v>
      </c>
      <c r="B53" s="15" t="n">
        <v>0.992269847</v>
      </c>
      <c r="C53" s="10" t="n">
        <v>0.0366788419</v>
      </c>
    </row>
    <row r="54" customFormat="false" ht="15" hidden="false" customHeight="false" outlineLevel="0" collapsed="false">
      <c r="A54" s="11" t="n">
        <v>46286</v>
      </c>
      <c r="B54" s="15" t="n">
        <v>0.989039222</v>
      </c>
      <c r="C54" s="10" t="n">
        <v>0.0371612259</v>
      </c>
    </row>
    <row r="55" customFormat="false" ht="15" hidden="false" customHeight="false" outlineLevel="0" collapsed="false">
      <c r="A55" s="11" t="n">
        <v>46315</v>
      </c>
      <c r="B55" s="15" t="n">
        <v>0.98608283</v>
      </c>
      <c r="C55" s="10" t="n">
        <v>0.037432255</v>
      </c>
    </row>
    <row r="56" customFormat="false" ht="15" hidden="false" customHeight="false" outlineLevel="0" collapsed="false">
      <c r="A56" s="11" t="n">
        <v>46346</v>
      </c>
      <c r="B56" s="15" t="n">
        <v>0.982906246</v>
      </c>
      <c r="C56" s="10" t="n">
        <v>0.0377402902</v>
      </c>
    </row>
    <row r="57" customFormat="false" ht="15" hidden="false" customHeight="false" outlineLevel="0" collapsed="false">
      <c r="A57" s="11" t="n">
        <v>46377</v>
      </c>
      <c r="B57" s="15" t="n">
        <v>0.979710008</v>
      </c>
      <c r="C57" s="10" t="n">
        <v>0.0386336547</v>
      </c>
    </row>
    <row r="58" customFormat="false" ht="15" hidden="false" customHeight="false" outlineLevel="0" collapsed="false">
      <c r="A58" s="11" t="n">
        <v>46407</v>
      </c>
      <c r="B58" s="15" t="n">
        <v>0.976552311</v>
      </c>
      <c r="C58" s="10" t="n">
        <v>0.0384701684</v>
      </c>
    </row>
    <row r="59" customFormat="false" ht="15" hidden="false" customHeight="false" outlineLevel="0" collapsed="false">
      <c r="A59" s="11" t="n">
        <v>46440</v>
      </c>
      <c r="B59" s="15" t="n">
        <v>0.973114916</v>
      </c>
      <c r="C59" s="10" t="n">
        <v>0.0385977809</v>
      </c>
    </row>
    <row r="60" customFormat="false" ht="15" hidden="false" customHeight="false" outlineLevel="0" collapsed="false">
      <c r="A60" s="11" t="n">
        <v>46468</v>
      </c>
      <c r="B60" s="15" t="n">
        <v>0.970195281</v>
      </c>
      <c r="C60" s="10" t="n">
        <v>0.0391877531</v>
      </c>
    </row>
    <row r="61" customFormat="false" ht="15" hidden="false" customHeight="false" outlineLevel="0" collapsed="false">
      <c r="A61" s="11" t="n">
        <v>46497</v>
      </c>
      <c r="B61" s="15" t="n">
        <v>0.9671369</v>
      </c>
      <c r="C61" s="10" t="n">
        <v>0.0395570652</v>
      </c>
    </row>
    <row r="62" customFormat="false" ht="15" hidden="false" customHeight="false" outlineLevel="0" collapsed="false">
      <c r="A62" s="11" t="n">
        <v>46527</v>
      </c>
      <c r="B62" s="15" t="n">
        <v>0.963947324</v>
      </c>
      <c r="C62" s="10" t="n">
        <v>0.0399070752</v>
      </c>
    </row>
    <row r="63" customFormat="false" ht="15" hidden="false" customHeight="false" outlineLevel="0" collapsed="false">
      <c r="A63" s="11" t="n">
        <v>46559</v>
      </c>
      <c r="B63" s="15" t="n">
        <v>0.96053938</v>
      </c>
      <c r="C63" s="10" t="n">
        <v>0.0399039102</v>
      </c>
    </row>
    <row r="64" customFormat="false" ht="15" hidden="false" customHeight="false" outlineLevel="0" collapsed="false">
      <c r="A64" s="11" t="n">
        <v>46588</v>
      </c>
      <c r="B64" s="15" t="n">
        <v>0.95746285</v>
      </c>
      <c r="C64" s="10" t="n">
        <v>0.0398446799</v>
      </c>
    </row>
    <row r="65" customFormat="false" ht="15" hidden="false" customHeight="false" outlineLevel="0" collapsed="false">
      <c r="A65" s="11" t="n">
        <v>46619</v>
      </c>
      <c r="B65" s="15" t="n">
        <v>0.954190155</v>
      </c>
      <c r="C65" s="10" t="n">
        <v>0.0397805046</v>
      </c>
    </row>
    <row r="66" customFormat="false" ht="15" hidden="false" customHeight="false" outlineLevel="0" collapsed="false">
      <c r="A66" s="11" t="n">
        <v>46650</v>
      </c>
      <c r="B66" s="15" t="n">
        <v>0.95093372</v>
      </c>
      <c r="C66" s="10" t="n">
        <v>0.0397067124</v>
      </c>
    </row>
    <row r="67" customFormat="false" ht="15" hidden="false" customHeight="false" outlineLevel="0" collapsed="false">
      <c r="A67" s="11" t="n">
        <v>46680</v>
      </c>
      <c r="B67" s="15" t="n">
        <v>0.947799959</v>
      </c>
      <c r="C67" s="10" t="n">
        <v>0.0395728304</v>
      </c>
    </row>
    <row r="68" customFormat="false" ht="15" hidden="false" customHeight="false" outlineLevel="0" collapsed="false">
      <c r="A68" s="11" t="n">
        <v>46713</v>
      </c>
      <c r="B68" s="15" t="n">
        <v>0.944377081</v>
      </c>
      <c r="C68" s="10" t="n">
        <v>0.0394238278</v>
      </c>
    </row>
    <row r="69" customFormat="false" ht="15" hidden="false" customHeight="false" outlineLevel="0" collapsed="false">
      <c r="A69" s="11" t="n">
        <v>46741</v>
      </c>
      <c r="B69" s="15" t="n">
        <v>0.941493987</v>
      </c>
      <c r="C69" s="10" t="n">
        <v>0.0391872249</v>
      </c>
    </row>
    <row r="70" customFormat="false" ht="15" hidden="false" customHeight="false" outlineLevel="0" collapsed="false">
      <c r="A70" s="11" t="n">
        <v>46772</v>
      </c>
      <c r="B70" s="15" t="n">
        <v>0.938331489</v>
      </c>
      <c r="C70" s="10" t="n">
        <v>0.0390056628</v>
      </c>
    </row>
    <row r="71" customFormat="false" ht="15" hidden="false" customHeight="false" outlineLevel="0" collapsed="false">
      <c r="A71" s="11" t="n">
        <v>46805</v>
      </c>
      <c r="B71" s="15" t="n">
        <v>0.934991866</v>
      </c>
      <c r="C71" s="10" t="n">
        <v>0.0388264785</v>
      </c>
    </row>
    <row r="72" customFormat="false" ht="15" hidden="false" customHeight="false" outlineLevel="0" collapsed="false">
      <c r="A72" s="11" t="n">
        <v>46832</v>
      </c>
      <c r="B72" s="15" t="n">
        <v>0.932280311</v>
      </c>
      <c r="C72" s="10" t="n">
        <v>0.0386665667</v>
      </c>
    </row>
    <row r="73" customFormat="false" ht="15" hidden="false" customHeight="false" outlineLevel="0" collapsed="false">
      <c r="A73" s="11" t="n">
        <v>46863</v>
      </c>
      <c r="B73" s="15" t="n">
        <v>0.929188735</v>
      </c>
      <c r="C73" s="10" t="n">
        <v>0.0385511882</v>
      </c>
    </row>
    <row r="74" customFormat="false" ht="15" hidden="false" customHeight="false" outlineLevel="0" collapsed="false">
      <c r="A74" s="11" t="n">
        <v>46895</v>
      </c>
      <c r="B74" s="15" t="n">
        <v>0.926017629</v>
      </c>
      <c r="C74" s="10" t="n">
        <v>0.0384341226</v>
      </c>
    </row>
    <row r="75" customFormat="false" ht="15" hidden="false" customHeight="false" outlineLevel="0" collapsed="false">
      <c r="A75" s="11" t="n">
        <v>46924</v>
      </c>
      <c r="B75" s="15" t="n">
        <v>0.923160833</v>
      </c>
      <c r="C75" s="10" t="n">
        <v>0.038388691</v>
      </c>
    </row>
    <row r="76" customFormat="false" ht="15" hidden="false" customHeight="false" outlineLevel="0" collapsed="false">
      <c r="A76" s="11" t="n">
        <v>46954</v>
      </c>
      <c r="B76" s="15" t="n">
        <v>0.920217805</v>
      </c>
      <c r="C76" s="10" t="n">
        <v>0.0383359633</v>
      </c>
    </row>
    <row r="77" customFormat="false" ht="15" hidden="false" customHeight="false" outlineLevel="0" collapsed="false">
      <c r="A77" s="11" t="n">
        <v>46986</v>
      </c>
      <c r="B77" s="15" t="n">
        <v>0.917093781</v>
      </c>
      <c r="C77" s="10" t="n">
        <v>0.0382723346</v>
      </c>
    </row>
    <row r="78" customFormat="false" ht="15" hidden="false" customHeight="false" outlineLevel="0" collapsed="false">
      <c r="A78" s="11" t="n">
        <v>47016</v>
      </c>
      <c r="B78" s="15" t="n">
        <v>0.914179188</v>
      </c>
      <c r="C78" s="10" t="n">
        <v>0.038215849</v>
      </c>
    </row>
    <row r="79" customFormat="false" ht="15" hidden="false" customHeight="false" outlineLevel="0" collapsed="false">
      <c r="A79" s="11" t="n">
        <v>47046</v>
      </c>
      <c r="B79" s="15" t="n">
        <v>0.911277788</v>
      </c>
      <c r="C79" s="10" t="n">
        <v>0.0381874835</v>
      </c>
    </row>
    <row r="80" customFormat="false" ht="15" hidden="false" customHeight="false" outlineLevel="0" collapsed="false">
      <c r="A80" s="11" t="n">
        <v>47077</v>
      </c>
      <c r="B80" s="15" t="n">
        <v>0.908291477</v>
      </c>
      <c r="C80" s="10" t="n">
        <v>0.0381584654</v>
      </c>
    </row>
    <row r="81" customFormat="false" ht="15" hidden="false" customHeight="false" outlineLevel="0" collapsed="false">
      <c r="A81" s="11" t="n">
        <v>47107</v>
      </c>
      <c r="B81" s="15" t="n">
        <v>0.905412848</v>
      </c>
      <c r="C81" s="10" t="n">
        <v>0.0381610395</v>
      </c>
    </row>
    <row r="82" customFormat="false" ht="15" hidden="false" customHeight="false" outlineLevel="0" collapsed="false">
      <c r="A82" s="11" t="n">
        <v>47140</v>
      </c>
      <c r="B82" s="15" t="n">
        <v>0.902256238</v>
      </c>
      <c r="C82" s="10" t="n">
        <v>0.0381525492</v>
      </c>
    </row>
    <row r="83" customFormat="false" ht="15" hidden="false" customHeight="false" outlineLevel="0" collapsed="false">
      <c r="A83" s="11" t="n">
        <v>47169</v>
      </c>
      <c r="B83" s="15" t="n">
        <v>0.899491855</v>
      </c>
      <c r="C83" s="10" t="n">
        <v>0.0381438136</v>
      </c>
    </row>
    <row r="84" customFormat="false" ht="15" hidden="false" customHeight="false" outlineLevel="0" collapsed="false">
      <c r="A84" s="11" t="n">
        <v>47197</v>
      </c>
      <c r="B84" s="15" t="n">
        <v>0.896831293</v>
      </c>
      <c r="C84" s="10" t="n">
        <v>0.0381319115</v>
      </c>
    </row>
    <row r="85" customFormat="false" ht="15" hidden="false" customHeight="false" outlineLevel="0" collapsed="false">
      <c r="A85" s="11" t="n">
        <v>47228</v>
      </c>
      <c r="B85" s="15" t="n">
        <v>0.893896301</v>
      </c>
      <c r="C85" s="10" t="n">
        <v>0.0381356936</v>
      </c>
    </row>
    <row r="86" customFormat="false" ht="15" hidden="false" customHeight="false" outlineLevel="0" collapsed="false">
      <c r="A86" s="11" t="n">
        <v>47259</v>
      </c>
      <c r="B86" s="15" t="n">
        <v>0.890970298</v>
      </c>
      <c r="C86" s="10" t="n">
        <v>0.0381407875</v>
      </c>
    </row>
    <row r="87" customFormat="false" ht="15" hidden="false" customHeight="false" outlineLevel="0" collapsed="false">
      <c r="A87" s="11" t="n">
        <v>47289</v>
      </c>
      <c r="B87" s="15" t="n">
        <v>0.888147217</v>
      </c>
      <c r="C87" s="10" t="n">
        <v>0.0380322712</v>
      </c>
    </row>
    <row r="88" customFormat="false" ht="15" hidden="false" customHeight="false" outlineLevel="0" collapsed="false">
      <c r="A88" s="11" t="n">
        <v>47319</v>
      </c>
      <c r="B88" s="15" t="n">
        <v>0.885343454</v>
      </c>
      <c r="C88" s="10" t="n">
        <v>0.0380325176</v>
      </c>
    </row>
    <row r="89" customFormat="false" ht="15" hidden="false" customHeight="false" outlineLevel="0" collapsed="false">
      <c r="A89" s="11" t="n">
        <v>47350</v>
      </c>
      <c r="B89" s="15" t="n">
        <v>0.882452636</v>
      </c>
      <c r="C89" s="10" t="n">
        <v>0.0380761541</v>
      </c>
    </row>
    <row r="90" customFormat="false" ht="15" hidden="false" customHeight="false" outlineLevel="0" collapsed="false">
      <c r="A90" s="11" t="n">
        <v>47381</v>
      </c>
      <c r="B90" s="15" t="n">
        <v>0.879567884</v>
      </c>
      <c r="C90" s="10" t="n">
        <v>0.0381235944</v>
      </c>
    </row>
    <row r="91" customFormat="false" ht="15" hidden="false" customHeight="false" outlineLevel="0" collapsed="false">
      <c r="A91" s="11" t="n">
        <v>47413</v>
      </c>
      <c r="B91" s="15" t="n">
        <v>0.876596441</v>
      </c>
      <c r="C91" s="10" t="n">
        <v>0.0381613834</v>
      </c>
    </row>
    <row r="92" customFormat="false" ht="15" hidden="false" customHeight="false" outlineLevel="0" collapsed="false">
      <c r="A92" s="11" t="n">
        <v>47442</v>
      </c>
      <c r="B92" s="15" t="n">
        <v>0.873909159</v>
      </c>
      <c r="C92" s="10" t="n">
        <v>0.0382061303</v>
      </c>
    </row>
    <row r="93" customFormat="false" ht="15" hidden="false" customHeight="false" outlineLevel="0" collapsed="false">
      <c r="A93" s="11" t="n">
        <v>47472</v>
      </c>
      <c r="B93" s="15" t="n">
        <v>0.871134804</v>
      </c>
      <c r="C93" s="10" t="n">
        <v>0.0382565813</v>
      </c>
    </row>
    <row r="94" customFormat="false" ht="15" hidden="false" customHeight="false" outlineLevel="0" collapsed="false">
      <c r="A94" s="11" t="n">
        <v>47505</v>
      </c>
      <c r="B94" s="15" t="n">
        <v>0.868089586</v>
      </c>
      <c r="C94" s="10" t="n">
        <v>0.0382938797</v>
      </c>
    </row>
    <row r="95" customFormat="false" ht="15" hidden="false" customHeight="false" outlineLevel="0" collapsed="false">
      <c r="A95" s="11" t="n">
        <v>47534</v>
      </c>
      <c r="B95" s="15" t="n">
        <v>0.86541917</v>
      </c>
      <c r="C95" s="10" t="n">
        <v>0.0383333575</v>
      </c>
    </row>
    <row r="96" customFormat="false" ht="15" hidden="false" customHeight="false" outlineLevel="0" collapsed="false">
      <c r="A96" s="11" t="n">
        <v>47562</v>
      </c>
      <c r="B96" s="15" t="n">
        <v>0.862845885</v>
      </c>
      <c r="C96" s="10" t="n">
        <v>0.0383900468</v>
      </c>
    </row>
    <row r="97" customFormat="false" ht="15" hidden="false" customHeight="false" outlineLevel="0" collapsed="false">
      <c r="A97" s="11" t="n">
        <v>47596</v>
      </c>
      <c r="B97" s="15" t="n">
        <v>0.859727851</v>
      </c>
      <c r="C97" s="10" t="n">
        <v>0.0384206017</v>
      </c>
    </row>
    <row r="98" customFormat="false" ht="15" hidden="false" customHeight="false" outlineLevel="0" collapsed="false">
      <c r="A98" s="11" t="n">
        <v>47623</v>
      </c>
      <c r="B98" s="15" t="n">
        <v>0.857256978</v>
      </c>
      <c r="C98" s="10" t="n">
        <v>0.0384693757</v>
      </c>
    </row>
    <row r="99" customFormat="false" ht="15" hidden="false" customHeight="false" outlineLevel="0" collapsed="false">
      <c r="A99" s="11" t="n">
        <v>47654</v>
      </c>
      <c r="B99" s="15" t="n">
        <v>0.854425432</v>
      </c>
      <c r="C99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7"/>
    <col collapsed="false" customWidth="true" hidden="false" outlineLevel="0" max="8" min="8" style="0" width="8"/>
    <col collapsed="false" customWidth="true" hidden="false" outlineLevel="0" max="10" min="9" style="0" width="11"/>
  </cols>
  <sheetData>
    <row r="1" customFormat="false" ht="16.15" hidden="false" customHeight="false" outlineLevel="0" collapsed="false">
      <c r="A1" s="1" t="s">
        <v>35</v>
      </c>
    </row>
    <row r="3" customFormat="false" ht="15" hidden="false" customHeight="false" outlineLevel="0" collapsed="false">
      <c r="A3" s="6" t="s">
        <v>36</v>
      </c>
    </row>
    <row r="4" customFormat="false" ht="15" hidden="false" customHeight="false" outlineLevel="0" collapsed="false">
      <c r="A4" s="7" t="s">
        <v>37</v>
      </c>
      <c r="B4" s="7" t="s">
        <v>38</v>
      </c>
      <c r="C4" s="7" t="s">
        <v>39</v>
      </c>
      <c r="D4" s="7" t="s">
        <v>40</v>
      </c>
      <c r="E4" s="7" t="s">
        <v>10</v>
      </c>
      <c r="F4" s="7" t="s">
        <v>41</v>
      </c>
    </row>
    <row r="5" customFormat="false" ht="15" hidden="false" customHeight="false" outlineLevel="0" collapsed="false">
      <c r="A5" s="16" t="n">
        <f aca="false">MarketData!$B$4</f>
        <v>46177</v>
      </c>
      <c r="B5" s="17"/>
      <c r="C5" s="17"/>
      <c r="D5" s="17"/>
      <c r="E5" s="17"/>
      <c r="F5" s="18" t="n">
        <v>1</v>
      </c>
    </row>
    <row r="6" customFormat="false" ht="15" hidden="false" customHeight="false" outlineLevel="0" collapsed="false">
      <c r="A6" s="16" t="n">
        <f aca="false">MarketData!$C$11</f>
        <v>46191</v>
      </c>
      <c r="B6" s="19" t="n">
        <f aca="false">A5</f>
        <v>46177</v>
      </c>
      <c r="C6" s="20" t="n">
        <f aca="false">A6-B6</f>
        <v>14</v>
      </c>
      <c r="D6" s="21" t="n">
        <f aca="false">C6/360</f>
        <v>0.0388888888888889</v>
      </c>
      <c r="E6" s="22" t="n">
        <f aca="false">MarketData!$D$11</f>
        <v>0.035947</v>
      </c>
      <c r="F6" s="18" t="n">
        <f aca="false">F5/(1+E6*D6)</f>
        <v>0.998604012616163</v>
      </c>
    </row>
    <row r="7" customFormat="false" ht="15" hidden="false" customHeight="false" outlineLevel="0" collapsed="false">
      <c r="A7" s="16" t="n">
        <f aca="false">MarketData!$B$16</f>
        <v>46203</v>
      </c>
      <c r="B7" s="19" t="n">
        <f aca="false">A6</f>
        <v>46191</v>
      </c>
      <c r="C7" s="20" t="n">
        <f aca="false">A7-B7</f>
        <v>12</v>
      </c>
      <c r="D7" s="21" t="n">
        <f aca="false">C7/360</f>
        <v>0.0333333333333333</v>
      </c>
      <c r="E7" s="22" t="n">
        <f aca="false">MarketData!$C$16</f>
        <v>0.036301</v>
      </c>
      <c r="F7" s="18" t="n">
        <f aca="false">F6/(1+E7*D7)</f>
        <v>0.997397128843692</v>
      </c>
    </row>
    <row r="8" customFormat="false" ht="15" hidden="false" customHeight="false" outlineLevel="0" collapsed="false">
      <c r="A8" s="16" t="n">
        <f aca="false">MarketData!$B$17</f>
        <v>46282</v>
      </c>
      <c r="B8" s="19" t="n">
        <f aca="false">A7</f>
        <v>46203</v>
      </c>
      <c r="C8" s="20" t="n">
        <f aca="false">A8-B8</f>
        <v>79</v>
      </c>
      <c r="D8" s="21" t="n">
        <f aca="false">C8/360</f>
        <v>0.219444444444444</v>
      </c>
      <c r="E8" s="22" t="n">
        <f aca="false">MarketData!$C$17</f>
        <v>0.036711</v>
      </c>
      <c r="F8" s="18" t="n">
        <f aca="false">F7/(1+E8*D8)</f>
        <v>0.989426285948434</v>
      </c>
    </row>
    <row r="9" customFormat="false" ht="15" hidden="false" customHeight="false" outlineLevel="0" collapsed="false">
      <c r="A9" s="16" t="n">
        <f aca="false">MarketData!$B$18</f>
        <v>46324</v>
      </c>
      <c r="B9" s="19" t="n">
        <f aca="false">A8</f>
        <v>46282</v>
      </c>
      <c r="C9" s="20" t="n">
        <f aca="false">A9-B9</f>
        <v>42</v>
      </c>
      <c r="D9" s="21" t="n">
        <f aca="false">C9/360</f>
        <v>0.116666666666667</v>
      </c>
      <c r="E9" s="22" t="n">
        <f aca="false">MarketData!$C$18</f>
        <v>0.037243</v>
      </c>
      <c r="F9" s="18" t="n">
        <f aca="false">F8/(1+E9*D9)</f>
        <v>0.985145810980626</v>
      </c>
    </row>
    <row r="10" customFormat="false" ht="15" hidden="false" customHeight="false" outlineLevel="0" collapsed="false">
      <c r="A10" s="16" t="n">
        <f aca="false">MarketData!$B$19</f>
        <v>46366</v>
      </c>
      <c r="B10" s="19" t="n">
        <f aca="false">A9</f>
        <v>46324</v>
      </c>
      <c r="C10" s="20" t="n">
        <f aca="false">A10-B10</f>
        <v>42</v>
      </c>
      <c r="D10" s="21" t="n">
        <f aca="false">C10/360</f>
        <v>0.116666666666667</v>
      </c>
      <c r="E10" s="22" t="n">
        <f aca="false">MarketData!$C$19</f>
        <v>0.037679</v>
      </c>
      <c r="F10" s="18" t="n">
        <f aca="false">F9/(1+E10*D10)</f>
        <v>0.980834178363196</v>
      </c>
    </row>
    <row r="11" customFormat="false" ht="15" hidden="false" customHeight="false" outlineLevel="0" collapsed="false">
      <c r="A11" s="16" t="n">
        <f aca="false">MarketData!$B$20</f>
        <v>46415</v>
      </c>
      <c r="B11" s="19" t="n">
        <f aca="false">A10</f>
        <v>46366</v>
      </c>
      <c r="C11" s="20" t="n">
        <f aca="false">A11-B11</f>
        <v>49</v>
      </c>
      <c r="D11" s="21" t="n">
        <f aca="false">C11/360</f>
        <v>0.136111111111111</v>
      </c>
      <c r="E11" s="22" t="n">
        <f aca="false">MarketData!$C$20</f>
        <v>0.038647</v>
      </c>
      <c r="F11" s="18" t="n">
        <f aca="false">F10/(1+E11*D11)</f>
        <v>0.975701708218865</v>
      </c>
    </row>
    <row r="12" customFormat="false" ht="15" hidden="false" customHeight="false" outlineLevel="0" collapsed="false">
      <c r="A12" s="16" t="n">
        <f aca="false">MarketData!$B$21</f>
        <v>46464</v>
      </c>
      <c r="B12" s="19" t="n">
        <f aca="false">A11</f>
        <v>46415</v>
      </c>
      <c r="C12" s="20" t="n">
        <f aca="false">A12-B12</f>
        <v>49</v>
      </c>
      <c r="D12" s="21" t="n">
        <f aca="false">C12/360</f>
        <v>0.136111111111111</v>
      </c>
      <c r="E12" s="22" t="n">
        <f aca="false">MarketData!$C$21</f>
        <v>0.038641</v>
      </c>
      <c r="F12" s="18" t="n">
        <f aca="false">F11/(1+E12*D12)</f>
        <v>0.970596883566872</v>
      </c>
    </row>
    <row r="13" customFormat="false" ht="15" hidden="false" customHeight="false" outlineLevel="0" collapsed="false">
      <c r="A13" s="16" t="n">
        <f aca="false">MarketData!$B$22</f>
        <v>46506</v>
      </c>
      <c r="B13" s="19" t="n">
        <f aca="false">A12</f>
        <v>46464</v>
      </c>
      <c r="C13" s="20" t="n">
        <f aca="false">A13-B13</f>
        <v>42</v>
      </c>
      <c r="D13" s="21" t="n">
        <f aca="false">C13/360</f>
        <v>0.116666666666667</v>
      </c>
      <c r="E13" s="22" t="n">
        <f aca="false">MarketData!$C$22</f>
        <v>0.039284</v>
      </c>
      <c r="F13" s="18" t="n">
        <f aca="false">F12/(1+E13*D13)</f>
        <v>0.966168803119667</v>
      </c>
    </row>
    <row r="14" customFormat="false" ht="15" hidden="false" customHeight="false" outlineLevel="0" collapsed="false">
      <c r="A14" s="16" t="n">
        <f aca="false">MarketData!$B$23</f>
        <v>46548</v>
      </c>
      <c r="B14" s="19" t="n">
        <f aca="false">A13</f>
        <v>46506</v>
      </c>
      <c r="C14" s="20" t="n">
        <f aca="false">A14-B14</f>
        <v>42</v>
      </c>
      <c r="D14" s="21" t="n">
        <f aca="false">C14/360</f>
        <v>0.116666666666667</v>
      </c>
      <c r="E14" s="22" t="n">
        <f aca="false">MarketData!$C$23</f>
        <v>0.039925</v>
      </c>
      <c r="F14" s="18" t="n">
        <f aca="false">F13/(1+E14*D14)</f>
        <v>0.961689334341084</v>
      </c>
    </row>
    <row r="15" customFormat="false" ht="15" hidden="false" customHeight="false" outlineLevel="0" collapsed="false">
      <c r="A15" s="16" t="n">
        <f aca="false">MarketData!$B$27</f>
        <v>46554</v>
      </c>
      <c r="B15" s="19" t="n">
        <f aca="false">A14</f>
        <v>46548</v>
      </c>
      <c r="C15" s="20" t="n">
        <f aca="false">A15-B15</f>
        <v>6</v>
      </c>
      <c r="D15" s="21" t="n">
        <f aca="false">C15/360</f>
        <v>0.0166666666666667</v>
      </c>
      <c r="E15" s="22" t="n">
        <f aca="false">MarketData!$C$23</f>
        <v>0.039925</v>
      </c>
      <c r="F15" s="18" t="n">
        <f aca="false">F14/(1+E15*D15)</f>
        <v>0.96104983576287</v>
      </c>
      <c r="G15" s="2" t="s">
        <v>42</v>
      </c>
    </row>
    <row r="17" customFormat="false" ht="15" hidden="false" customHeight="false" outlineLevel="0" collapsed="false">
      <c r="A17" s="6" t="s">
        <v>43</v>
      </c>
    </row>
    <row r="18" customFormat="false" ht="15" hidden="false" customHeight="false" outlineLevel="0" collapsed="false">
      <c r="A18" s="7" t="s">
        <v>14</v>
      </c>
      <c r="B18" s="7" t="s">
        <v>15</v>
      </c>
      <c r="C18" s="7" t="s">
        <v>16</v>
      </c>
      <c r="D18" s="7" t="s">
        <v>17</v>
      </c>
      <c r="E18" s="7" t="s">
        <v>44</v>
      </c>
      <c r="F18" s="7" t="s">
        <v>45</v>
      </c>
      <c r="G18" s="7" t="s">
        <v>39</v>
      </c>
      <c r="H18" s="7" t="s">
        <v>46</v>
      </c>
      <c r="I18" s="7" t="s">
        <v>47</v>
      </c>
      <c r="J18" s="7" t="s">
        <v>48</v>
      </c>
    </row>
    <row r="19" customFormat="false" ht="15" hidden="false" customHeight="false" outlineLevel="0" collapsed="false">
      <c r="A19" s="23" t="str">
        <f aca="false">MarketData!$A$27</f>
        <v>JUN27</v>
      </c>
      <c r="B19" s="16" t="n">
        <f aca="false">MarketData!$B$27</f>
        <v>46554</v>
      </c>
      <c r="C19" s="16" t="n">
        <f aca="false">MarketData!$C$27</f>
        <v>46645</v>
      </c>
      <c r="D19" s="24" t="n">
        <f aca="false">MarketData!$D$27</f>
        <v>95.9993</v>
      </c>
      <c r="E19" s="24" t="n">
        <f aca="false">MarketData!$E$27</f>
        <v>0.0035</v>
      </c>
      <c r="F19" s="25" t="n">
        <f aca="false">(100-D19-E19)/100</f>
        <v>0.039972</v>
      </c>
      <c r="G19" s="20" t="n">
        <f aca="false">C19-B19</f>
        <v>91</v>
      </c>
      <c r="H19" s="21" t="n">
        <f aca="false">G19/360</f>
        <v>0.252777777777778</v>
      </c>
      <c r="I19" s="18" t="n">
        <f aca="false">$F$15</f>
        <v>0.96104983576287</v>
      </c>
      <c r="J19" s="18" t="n">
        <f aca="false">I19/(1+F19*H19)</f>
        <v>0.951436489755828</v>
      </c>
    </row>
    <row r="20" customFormat="false" ht="15" hidden="false" customHeight="false" outlineLevel="0" collapsed="false">
      <c r="A20" s="23" t="str">
        <f aca="false">MarketData!$A$28</f>
        <v>SEP27</v>
      </c>
      <c r="B20" s="16" t="n">
        <f aca="false">MarketData!$B$28</f>
        <v>46645</v>
      </c>
      <c r="C20" s="16" t="n">
        <f aca="false">MarketData!$C$28</f>
        <v>46736</v>
      </c>
      <c r="D20" s="24" t="n">
        <f aca="false">MarketData!$D$28</f>
        <v>96.0035</v>
      </c>
      <c r="E20" s="24" t="n">
        <f aca="false">MarketData!$E$28</f>
        <v>0.0054</v>
      </c>
      <c r="F20" s="25" t="n">
        <f aca="false">(100-D20-E20)/100</f>
        <v>0.039911</v>
      </c>
      <c r="G20" s="20" t="n">
        <f aca="false">C20-B20</f>
        <v>91</v>
      </c>
      <c r="H20" s="21" t="n">
        <f aca="false">G20/360</f>
        <v>0.252777777777778</v>
      </c>
      <c r="I20" s="18" t="n">
        <f aca="false">J19</f>
        <v>0.951436489755828</v>
      </c>
      <c r="J20" s="18" t="n">
        <f aca="false">I20/(1+F20*H20)</f>
        <v>0.941933684503929</v>
      </c>
    </row>
    <row r="21" customFormat="false" ht="15" hidden="false" customHeight="false" outlineLevel="0" collapsed="false">
      <c r="A21" s="23" t="str">
        <f aca="false">MarketData!$A$29</f>
        <v>DEC27</v>
      </c>
      <c r="B21" s="16" t="n">
        <f aca="false">MarketData!$B$29</f>
        <v>46736</v>
      </c>
      <c r="C21" s="16" t="n">
        <f aca="false">MarketData!$C$29</f>
        <v>46827</v>
      </c>
      <c r="D21" s="24" t="n">
        <f aca="false">MarketData!$D$29</f>
        <v>96.0252</v>
      </c>
      <c r="E21" s="24" t="n">
        <f aca="false">MarketData!$E$29</f>
        <v>0.0079</v>
      </c>
      <c r="F21" s="25" t="n">
        <f aca="false">(100-D21-E21)/100</f>
        <v>0.039669</v>
      </c>
      <c r="G21" s="20" t="n">
        <f aca="false">C21-B21</f>
        <v>91</v>
      </c>
      <c r="H21" s="21" t="n">
        <f aca="false">G21/360</f>
        <v>0.252777777777778</v>
      </c>
      <c r="I21" s="18" t="n">
        <f aca="false">J20</f>
        <v>0.941933684503929</v>
      </c>
      <c r="J21" s="18" t="n">
        <f aca="false">I21/(1+F21*H21)</f>
        <v>0.932582270190229</v>
      </c>
    </row>
    <row r="22" customFormat="false" ht="15" hidden="false" customHeight="false" outlineLevel="0" collapsed="false">
      <c r="A22" s="23" t="str">
        <f aca="false">MarketData!$A$30</f>
        <v>MAR28</v>
      </c>
      <c r="B22" s="16" t="n">
        <f aca="false">MarketData!$B$30</f>
        <v>46827</v>
      </c>
      <c r="C22" s="16" t="n">
        <f aca="false">MarketData!$C$30</f>
        <v>46925</v>
      </c>
      <c r="D22" s="24" t="n">
        <f aca="false">MarketData!$D$30</f>
        <v>96.0792</v>
      </c>
      <c r="E22" s="24" t="n">
        <f aca="false">MarketData!$E$30</f>
        <v>0.0112</v>
      </c>
      <c r="F22" s="25" t="n">
        <f aca="false">(100-D22-E22)/100</f>
        <v>0.039096</v>
      </c>
      <c r="G22" s="20" t="n">
        <f aca="false">C22-B22</f>
        <v>98</v>
      </c>
      <c r="H22" s="21" t="n">
        <f aca="false">G22/360</f>
        <v>0.272222222222222</v>
      </c>
      <c r="I22" s="18" t="n">
        <f aca="false">J21</f>
        <v>0.932582270190229</v>
      </c>
      <c r="J22" s="18" t="n">
        <f aca="false">I22/(1+F22*H22)</f>
        <v>0.922761504054874</v>
      </c>
    </row>
    <row r="23" customFormat="false" ht="15" hidden="false" customHeight="false" outlineLevel="0" collapsed="false">
      <c r="A23" s="23" t="str">
        <f aca="false">MarketData!$A$31</f>
        <v>JUN28</v>
      </c>
      <c r="B23" s="16" t="n">
        <f aca="false">MarketData!$B$31</f>
        <v>46925</v>
      </c>
      <c r="C23" s="16" t="n">
        <f aca="false">MarketData!$C$31</f>
        <v>47016</v>
      </c>
      <c r="D23" s="24" t="n">
        <f aca="false">MarketData!$D$31</f>
        <v>96.1217</v>
      </c>
      <c r="E23" s="24" t="n">
        <f aca="false">MarketData!$E$31</f>
        <v>0.0154</v>
      </c>
      <c r="F23" s="25" t="n">
        <f aca="false">(100-D23-E23)/100</f>
        <v>0.038629</v>
      </c>
      <c r="G23" s="20" t="n">
        <f aca="false">C23-B23</f>
        <v>91</v>
      </c>
      <c r="H23" s="21" t="n">
        <f aca="false">G23/360</f>
        <v>0.252777777777778</v>
      </c>
      <c r="I23" s="18" t="n">
        <f aca="false">J22</f>
        <v>0.922761504054874</v>
      </c>
      <c r="J23" s="18" t="n">
        <f aca="false">I23/(1+F23*H23)</f>
        <v>0.913838281920705</v>
      </c>
    </row>
    <row r="24" customFormat="false" ht="15" hidden="false" customHeight="false" outlineLevel="0" collapsed="false">
      <c r="A24" s="23" t="str">
        <f aca="false">MarketData!$A$32</f>
        <v>SEP28</v>
      </c>
      <c r="B24" s="16" t="n">
        <f aca="false">MarketData!$B$32</f>
        <v>47016</v>
      </c>
      <c r="C24" s="16" t="n">
        <f aca="false">MarketData!$C$32</f>
        <v>47107</v>
      </c>
      <c r="D24" s="24" t="n">
        <f aca="false">MarketData!$D$32</f>
        <v>96.1496</v>
      </c>
      <c r="E24" s="24" t="n">
        <f aca="false">MarketData!$E$32</f>
        <v>0.0201</v>
      </c>
      <c r="F24" s="25" t="n">
        <f aca="false">(100-D24-E24)/100</f>
        <v>0.0383029999999999</v>
      </c>
      <c r="G24" s="20" t="n">
        <f aca="false">C24-B24</f>
        <v>91</v>
      </c>
      <c r="H24" s="21" t="n">
        <f aca="false">G24/360</f>
        <v>0.252777777777778</v>
      </c>
      <c r="I24" s="18" t="n">
        <f aca="false">J23</f>
        <v>0.913838281920705</v>
      </c>
      <c r="J24" s="18" t="n">
        <f aca="false">I24/(1+F24*H24)</f>
        <v>0.9050752104856</v>
      </c>
    </row>
    <row r="25" customFormat="false" ht="15" hidden="false" customHeight="false" outlineLevel="0" collapsed="false">
      <c r="A25" s="23" t="str">
        <f aca="false">MarketData!$A$33</f>
        <v>DEC28</v>
      </c>
      <c r="B25" s="16" t="n">
        <f aca="false">MarketData!$B$33</f>
        <v>47107</v>
      </c>
      <c r="C25" s="16" t="n">
        <f aca="false">MarketData!$C$33</f>
        <v>47198</v>
      </c>
      <c r="D25" s="24" t="n">
        <f aca="false">MarketData!$D$33</f>
        <v>96.1468</v>
      </c>
      <c r="E25" s="24" t="n">
        <f aca="false">MarketData!$E$33</f>
        <v>0.0257</v>
      </c>
      <c r="F25" s="25" t="n">
        <f aca="false">(100-D25-E25)/100</f>
        <v>0.038275</v>
      </c>
      <c r="G25" s="20" t="n">
        <f aca="false">C25-B25</f>
        <v>91</v>
      </c>
      <c r="H25" s="21" t="n">
        <f aca="false">G25/360</f>
        <v>0.252777777777778</v>
      </c>
      <c r="I25" s="18" t="n">
        <f aca="false">J24</f>
        <v>0.9050752104856</v>
      </c>
      <c r="J25" s="18" t="n">
        <f aca="false">I25/(1+F25*H25)</f>
        <v>0.896402454488256</v>
      </c>
    </row>
    <row r="26" customFormat="false" ht="15" hidden="false" customHeight="false" outlineLevel="0" collapsed="false">
      <c r="A26" s="23" t="str">
        <f aca="false">MarketData!$A$34</f>
        <v>MAR29</v>
      </c>
      <c r="B26" s="16" t="n">
        <f aca="false">MarketData!$B$34</f>
        <v>47198</v>
      </c>
      <c r="C26" s="16" t="n">
        <f aca="false">MarketData!$C$34</f>
        <v>47289</v>
      </c>
      <c r="D26" s="24" t="n">
        <f aca="false">MarketData!$D$34</f>
        <v>96.1431</v>
      </c>
      <c r="E26" s="24" t="n">
        <f aca="false">MarketData!$E$34</f>
        <v>0.0308</v>
      </c>
      <c r="F26" s="25" t="n">
        <f aca="false">(100-D26-E26)/100</f>
        <v>0.038261</v>
      </c>
      <c r="G26" s="20" t="n">
        <f aca="false">C26-B26</f>
        <v>91</v>
      </c>
      <c r="H26" s="21" t="n">
        <f aca="false">G26/360</f>
        <v>0.252777777777778</v>
      </c>
      <c r="I26" s="18" t="n">
        <f aca="false">J25</f>
        <v>0.896402454488256</v>
      </c>
      <c r="J26" s="18" t="n">
        <f aca="false">I26/(1+F26*H26)</f>
        <v>0.88781591573155</v>
      </c>
    </row>
    <row r="28" customFormat="false" ht="15" hidden="false" customHeight="false" outlineLevel="0" collapsed="false">
      <c r="A28" s="6" t="s">
        <v>49</v>
      </c>
    </row>
    <row r="29" customFormat="false" ht="15" hidden="false" customHeight="false" outlineLevel="0" collapsed="false">
      <c r="A29" s="3" t="s">
        <v>50</v>
      </c>
      <c r="B29" s="26" t="n">
        <f aca="false">MarketData!$B$5</f>
        <v>46181</v>
      </c>
      <c r="D29" s="3" t="s">
        <v>51</v>
      </c>
      <c r="E29" s="27" t="n">
        <f aca="false">1/(1+MarketData!$D$11*(B29-MarketData!$B$4)/360)</f>
        <v>0.999600748354432</v>
      </c>
    </row>
    <row r="30" customFormat="false" ht="15" hidden="false" customHeight="false" outlineLevel="0" collapsed="false">
      <c r="A30" s="7" t="s">
        <v>52</v>
      </c>
      <c r="B30" s="7" t="s">
        <v>41</v>
      </c>
      <c r="C30" s="7" t="s">
        <v>40</v>
      </c>
    </row>
    <row r="31" customFormat="false" ht="15" hidden="false" customHeight="false" outlineLevel="0" collapsed="false">
      <c r="A31" s="19" t="n">
        <f aca="false">EDATE(B29,12)</f>
        <v>46546</v>
      </c>
      <c r="B31" s="18" t="n">
        <f aca="false">F13*(F14/F13)^((A31-A13)/(A14-A13))</f>
        <v>0.961902170678387</v>
      </c>
      <c r="C31" s="21" t="n">
        <f aca="false">(A31-B29)/360</f>
        <v>1.01388888888889</v>
      </c>
    </row>
    <row r="32" customFormat="false" ht="15" hidden="false" customHeight="false" outlineLevel="0" collapsed="false">
      <c r="A32" s="19" t="n">
        <f aca="false">EDATE(B29,24)</f>
        <v>46912</v>
      </c>
      <c r="B32" s="18" t="n">
        <f aca="false">J21*(J22/J21)^((A32-C21)/(C22-C21))</f>
        <v>0.924058285413431</v>
      </c>
      <c r="C32" s="21" t="n">
        <f aca="false">(A32-A31)/360</f>
        <v>1.01666666666667</v>
      </c>
    </row>
    <row r="33" customFormat="false" ht="15" hidden="false" customHeight="false" outlineLevel="0" collapsed="false">
      <c r="A33" s="19" t="n">
        <f aca="false">EDATE(B29,36)</f>
        <v>47277</v>
      </c>
      <c r="B33" s="18" t="n">
        <f aca="false">J25*(J26/J25)^((A33-C25)/(C26-C25))</f>
        <v>0.888943481537844</v>
      </c>
      <c r="C33" s="21" t="n">
        <f aca="false">(A33-A32)/360</f>
        <v>1.01388888888889</v>
      </c>
    </row>
    <row r="34" customFormat="false" ht="15" hidden="false" customHeight="false" outlineLevel="0" collapsed="false">
      <c r="A34" s="16" t="n">
        <f aca="false">MarketData!$B$38</f>
        <v>47642</v>
      </c>
      <c r="B34" s="18" t="n">
        <f aca="false">(E29-MarketData!$C$38*(C31*B31+C32*B32+C33*B33))/(1+MarketData!$C$38*C34)</f>
        <v>0.855541596984996</v>
      </c>
      <c r="C34" s="21" t="n">
        <f aca="false">(A34-A33)/360</f>
        <v>1.01388888888889</v>
      </c>
      <c r="E34" s="2" t="s">
        <v>53</v>
      </c>
    </row>
    <row r="35" customFormat="false" ht="15" hidden="false" customHeight="false" outlineLevel="0" collapsed="false">
      <c r="A35" s="16" t="n">
        <f aca="false">MarketData!$B$39</f>
        <v>48007</v>
      </c>
      <c r="B35" s="18" t="n">
        <f aca="false">(E29-MarketData!$C$39*(C31*B31+C32*B32+C33*B33+C34*B34))/(1+MarketData!$C$39*C35)</f>
        <v>0.822449992836723</v>
      </c>
      <c r="C35" s="21" t="n">
        <f aca="false">(A35-A34)/360</f>
        <v>1.01388888888889</v>
      </c>
      <c r="E35" s="2" t="s">
        <v>54</v>
      </c>
    </row>
    <row r="37" customFormat="false" ht="15" hidden="false" customHeight="false" outlineLevel="0" collapsed="false">
      <c r="A37" s="6" t="s">
        <v>55</v>
      </c>
    </row>
    <row r="38" customFormat="false" ht="15" hidden="false" customHeight="false" outlineLevel="0" collapsed="false">
      <c r="A38" s="7" t="s">
        <v>37</v>
      </c>
      <c r="B38" s="7" t="s">
        <v>56</v>
      </c>
      <c r="C38" s="7" t="s">
        <v>41</v>
      </c>
      <c r="D38" s="7" t="s">
        <v>57</v>
      </c>
    </row>
    <row r="39" customFormat="false" ht="15" hidden="false" customHeight="false" outlineLevel="0" collapsed="false">
      <c r="A39" s="19" t="n">
        <f aca="false">A5</f>
        <v>46177</v>
      </c>
      <c r="B39" s="21" t="n">
        <f aca="false">(A39-MarketData!$B$4)/360</f>
        <v>0</v>
      </c>
      <c r="C39" s="18" t="n">
        <f aca="false">F5</f>
        <v>1</v>
      </c>
      <c r="D39" s="28" t="n">
        <f aca="false">LN(C39)</f>
        <v>0</v>
      </c>
    </row>
    <row r="40" customFormat="false" ht="15" hidden="false" customHeight="false" outlineLevel="0" collapsed="false">
      <c r="A40" s="19" t="n">
        <f aca="false">A6</f>
        <v>46191</v>
      </c>
      <c r="B40" s="21" t="n">
        <f aca="false">(A40-MarketData!$B$4)/360</f>
        <v>0.0388888888888889</v>
      </c>
      <c r="C40" s="18" t="n">
        <f aca="false">F6</f>
        <v>0.998604012616163</v>
      </c>
      <c r="D40" s="28" t="n">
        <f aca="false">LN(C40)</f>
        <v>-0.0013969626819996</v>
      </c>
    </row>
    <row r="41" customFormat="false" ht="15" hidden="false" customHeight="false" outlineLevel="0" collapsed="false">
      <c r="A41" s="19" t="n">
        <f aca="false">A7</f>
        <v>46203</v>
      </c>
      <c r="B41" s="21" t="n">
        <f aca="false">(A41-MarketData!$B$4)/360</f>
        <v>0.0722222222222222</v>
      </c>
      <c r="C41" s="18" t="n">
        <f aca="false">F7</f>
        <v>0.997397128843692</v>
      </c>
      <c r="D41" s="28" t="n">
        <f aca="false">LN(C41)</f>
        <v>-0.00260626451503272</v>
      </c>
    </row>
    <row r="42" customFormat="false" ht="15" hidden="false" customHeight="false" outlineLevel="0" collapsed="false">
      <c r="A42" s="19" t="n">
        <f aca="false">A8</f>
        <v>46282</v>
      </c>
      <c r="B42" s="21" t="n">
        <f aca="false">(A42-MarketData!$B$4)/360</f>
        <v>0.291666666666667</v>
      </c>
      <c r="C42" s="18" t="n">
        <f aca="false">F8</f>
        <v>0.989426285948434</v>
      </c>
      <c r="D42" s="28" t="n">
        <f aca="false">LN(C42)</f>
        <v>-0.0106300129768215</v>
      </c>
    </row>
    <row r="43" customFormat="false" ht="15" hidden="false" customHeight="false" outlineLevel="0" collapsed="false">
      <c r="A43" s="19" t="n">
        <f aca="false">A9</f>
        <v>46324</v>
      </c>
      <c r="B43" s="21" t="n">
        <f aca="false">(A43-MarketData!$B$4)/360</f>
        <v>0.408333333333333</v>
      </c>
      <c r="C43" s="18" t="n">
        <f aca="false">F9</f>
        <v>0.985145810980626</v>
      </c>
      <c r="D43" s="28" t="n">
        <f aca="false">LN(C43)</f>
        <v>-0.0149656173132102</v>
      </c>
    </row>
    <row r="44" customFormat="false" ht="15" hidden="false" customHeight="false" outlineLevel="0" collapsed="false">
      <c r="A44" s="19" t="n">
        <f aca="false">A10</f>
        <v>46366</v>
      </c>
      <c r="B44" s="21" t="n">
        <f aca="false">(A44-MarketData!$B$4)/360</f>
        <v>0.525</v>
      </c>
      <c r="C44" s="18" t="n">
        <f aca="false">F10</f>
        <v>0.980834178363196</v>
      </c>
      <c r="D44" s="28" t="n">
        <f aca="false">LN(C44)</f>
        <v>-0.0193518669734208</v>
      </c>
    </row>
    <row r="45" customFormat="false" ht="15" hidden="false" customHeight="false" outlineLevel="0" collapsed="false">
      <c r="A45" s="19" t="n">
        <f aca="false">A11</f>
        <v>46415</v>
      </c>
      <c r="B45" s="21" t="n">
        <f aca="false">(A45-MarketData!$B$4)/360</f>
        <v>0.661111111111111</v>
      </c>
      <c r="C45" s="18" t="n">
        <f aca="false">F11</f>
        <v>0.975701708218865</v>
      </c>
      <c r="D45" s="28" t="n">
        <f aca="false">LN(C45)</f>
        <v>-0.0245983661073746</v>
      </c>
    </row>
    <row r="46" customFormat="false" ht="15" hidden="false" customHeight="false" outlineLevel="0" collapsed="false">
      <c r="A46" s="19" t="n">
        <f aca="false">A12</f>
        <v>46464</v>
      </c>
      <c r="B46" s="21" t="n">
        <f aca="false">(A46-MarketData!$B$4)/360</f>
        <v>0.797222222222222</v>
      </c>
      <c r="C46" s="18" t="n">
        <f aca="false">F12</f>
        <v>0.970596883566872</v>
      </c>
      <c r="D46" s="28" t="n">
        <f aca="false">LN(C46)</f>
        <v>-0.0298440528477528</v>
      </c>
    </row>
    <row r="47" customFormat="false" ht="15" hidden="false" customHeight="false" outlineLevel="0" collapsed="false">
      <c r="A47" s="19" t="n">
        <f aca="false">A13</f>
        <v>46506</v>
      </c>
      <c r="B47" s="21" t="n">
        <f aca="false">(A47-MarketData!$B$4)/360</f>
        <v>0.913888888888889</v>
      </c>
      <c r="C47" s="18" t="n">
        <f aca="false">F13</f>
        <v>0.966168803119667</v>
      </c>
      <c r="D47" s="28" t="n">
        <f aca="false">LN(C47)</f>
        <v>-0.0344167156053514</v>
      </c>
    </row>
    <row r="48" customFormat="false" ht="15" hidden="false" customHeight="false" outlineLevel="0" collapsed="false">
      <c r="A48" s="19" t="n">
        <f aca="false">A14</f>
        <v>46548</v>
      </c>
      <c r="B48" s="21" t="n">
        <f aca="false">(A48-MarketData!$B$4)/360</f>
        <v>1.03055555555556</v>
      </c>
      <c r="C48" s="18" t="n">
        <f aca="false">F14</f>
        <v>0.961689334341084</v>
      </c>
      <c r="D48" s="28" t="n">
        <f aca="false">LN(C48)</f>
        <v>-0.0390638177472817</v>
      </c>
    </row>
    <row r="49" customFormat="false" ht="15" hidden="false" customHeight="false" outlineLevel="0" collapsed="false">
      <c r="A49" s="19" t="n">
        <f aca="false">A15</f>
        <v>46554</v>
      </c>
      <c r="B49" s="21" t="n">
        <f aca="false">(A49-MarketData!$B$4)/360</f>
        <v>1.04722222222222</v>
      </c>
      <c r="C49" s="18" t="n">
        <f aca="false">F15</f>
        <v>0.96104983576287</v>
      </c>
      <c r="D49" s="28" t="n">
        <f aca="false">LN(C49)</f>
        <v>-0.0397290131224402</v>
      </c>
    </row>
    <row r="50" customFormat="false" ht="15" hidden="false" customHeight="false" outlineLevel="0" collapsed="false">
      <c r="A50" s="19" t="n">
        <f aca="false">C19</f>
        <v>46645</v>
      </c>
      <c r="B50" s="21" t="n">
        <f aca="false">(A50-MarketData!$B$4)/360</f>
        <v>1.3</v>
      </c>
      <c r="C50" s="18" t="n">
        <f aca="false">J19</f>
        <v>0.951436489755828</v>
      </c>
      <c r="D50" s="28" t="n">
        <f aca="false">LN(C50)</f>
        <v>-0.0497823419714626</v>
      </c>
    </row>
    <row r="51" customFormat="false" ht="15" hidden="false" customHeight="false" outlineLevel="0" collapsed="false">
      <c r="A51" s="19" t="n">
        <f aca="false">C20</f>
        <v>46736</v>
      </c>
      <c r="B51" s="21" t="n">
        <f aca="false">(A51-MarketData!$B$4)/360</f>
        <v>1.55277777777778</v>
      </c>
      <c r="C51" s="18" t="n">
        <f aca="false">J20</f>
        <v>0.941933684503929</v>
      </c>
      <c r="D51" s="28" t="n">
        <f aca="false">LN(C51)</f>
        <v>-0.0598204054996594</v>
      </c>
    </row>
    <row r="52" customFormat="false" ht="15" hidden="false" customHeight="false" outlineLevel="0" collapsed="false">
      <c r="A52" s="19" t="n">
        <f aca="false">C21</f>
        <v>46827</v>
      </c>
      <c r="B52" s="21" t="n">
        <f aca="false">(A52-MarketData!$B$4)/360</f>
        <v>1.80555555555556</v>
      </c>
      <c r="C52" s="18" t="n">
        <f aca="false">J21</f>
        <v>0.932582270190229</v>
      </c>
      <c r="D52" s="28" t="n">
        <f aca="false">LN(C52)</f>
        <v>-0.0697979059507272</v>
      </c>
    </row>
    <row r="53" customFormat="false" ht="15" hidden="false" customHeight="false" outlineLevel="0" collapsed="false">
      <c r="A53" s="19" t="n">
        <f aca="false">C22</f>
        <v>46925</v>
      </c>
      <c r="B53" s="21" t="n">
        <f aca="false">(A53-MarketData!$B$4)/360</f>
        <v>2.07777777777778</v>
      </c>
      <c r="C53" s="18" t="n">
        <f aca="false">J22</f>
        <v>0.922761504054874</v>
      </c>
      <c r="D53" s="28" t="n">
        <f aca="false">LN(C53)</f>
        <v>-0.080384470008184</v>
      </c>
    </row>
    <row r="54" customFormat="false" ht="15" hidden="false" customHeight="false" outlineLevel="0" collapsed="false">
      <c r="A54" s="19" t="n">
        <f aca="false">C23</f>
        <v>47016</v>
      </c>
      <c r="B54" s="21" t="n">
        <f aca="false">(A54-MarketData!$B$4)/360</f>
        <v>2.33055555555556</v>
      </c>
      <c r="C54" s="18" t="n">
        <f aca="false">J23</f>
        <v>0.913838281920705</v>
      </c>
      <c r="D54" s="28" t="n">
        <f aca="false">LN(C54)</f>
        <v>-0.0901016576239733</v>
      </c>
    </row>
    <row r="55" customFormat="false" ht="15" hidden="false" customHeight="false" outlineLevel="0" collapsed="false">
      <c r="A55" s="19" t="n">
        <f aca="false">C24</f>
        <v>47107</v>
      </c>
      <c r="B55" s="21" t="n">
        <f aca="false">(A55-MarketData!$B$4)/360</f>
        <v>2.58333333333333</v>
      </c>
      <c r="C55" s="18" t="n">
        <f aca="false">J24</f>
        <v>0.9050752104856</v>
      </c>
      <c r="D55" s="28" t="n">
        <f aca="false">LN(C55)</f>
        <v>-0.099737233226332</v>
      </c>
    </row>
    <row r="56" customFormat="false" ht="15" hidden="false" customHeight="false" outlineLevel="0" collapsed="false">
      <c r="A56" s="19" t="n">
        <f aca="false">C25</f>
        <v>47198</v>
      </c>
      <c r="B56" s="21" t="n">
        <f aca="false">(A56-MarketData!$B$4)/360</f>
        <v>2.83611111111111</v>
      </c>
      <c r="C56" s="18" t="n">
        <f aca="false">J25</f>
        <v>0.896402454488256</v>
      </c>
      <c r="D56" s="28" t="n">
        <f aca="false">LN(C56)</f>
        <v>-0.109365798897294</v>
      </c>
    </row>
    <row r="57" customFormat="false" ht="15" hidden="false" customHeight="false" outlineLevel="0" collapsed="false">
      <c r="A57" s="19" t="n">
        <f aca="false">C26</f>
        <v>47289</v>
      </c>
      <c r="B57" s="21" t="n">
        <f aca="false">(A57-MarketData!$B$4)/360</f>
        <v>3.08888888888889</v>
      </c>
      <c r="C57" s="18" t="n">
        <f aca="false">J26</f>
        <v>0.88781591573155</v>
      </c>
      <c r="D57" s="28" t="n">
        <f aca="false">LN(C57)</f>
        <v>-0.118990859584129</v>
      </c>
    </row>
    <row r="58" customFormat="false" ht="15" hidden="false" customHeight="false" outlineLevel="0" collapsed="false">
      <c r="A58" s="19" t="n">
        <f aca="false">A34</f>
        <v>47642</v>
      </c>
      <c r="B58" s="21" t="n">
        <f aca="false">(A58-MarketData!$B$4)/360</f>
        <v>4.06944444444445</v>
      </c>
      <c r="C58" s="18" t="n">
        <f aca="false">B34</f>
        <v>0.855541596984996</v>
      </c>
      <c r="D58" s="28" t="n">
        <f aca="false">LN(C58)</f>
        <v>-0.156020563822018</v>
      </c>
    </row>
    <row r="59" customFormat="false" ht="15" hidden="false" customHeight="false" outlineLevel="0" collapsed="false">
      <c r="A59" s="19" t="n">
        <f aca="false">A35</f>
        <v>48007</v>
      </c>
      <c r="B59" s="21" t="n">
        <f aca="false">(A59-MarketData!$B$4)/360</f>
        <v>5.08333333333333</v>
      </c>
      <c r="C59" s="18" t="n">
        <f aca="false">B35</f>
        <v>0.822449992836723</v>
      </c>
      <c r="D59" s="28" t="n">
        <f aca="false">LN(C59)</f>
        <v>-0.195467597173651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6" min="3" style="0" width="11"/>
    <col collapsed="false" customWidth="true" hidden="false" outlineLevel="0" max="7" min="7" style="0" width="7"/>
    <col collapsed="false" customWidth="true" hidden="false" outlineLevel="0" max="9" min="8" style="0" width="10"/>
    <col collapsed="false" customWidth="true" hidden="false" outlineLevel="0" max="14" min="10" style="0" width="11"/>
  </cols>
  <sheetData>
    <row r="1" customFormat="false" ht="16.15" hidden="false" customHeight="false" outlineLevel="0" collapsed="false">
      <c r="A1" s="1" t="s">
        <v>58</v>
      </c>
    </row>
    <row r="2" customFormat="false" ht="15" hidden="false" customHeight="false" outlineLevel="0" collapsed="false">
      <c r="A2" s="2" t="s">
        <v>59</v>
      </c>
    </row>
    <row r="4" customFormat="false" ht="30" hidden="false" customHeight="true" outlineLevel="0" collapsed="false">
      <c r="A4" s="29" t="s">
        <v>32</v>
      </c>
      <c r="B4" s="29" t="s">
        <v>60</v>
      </c>
      <c r="C4" s="29" t="s">
        <v>61</v>
      </c>
      <c r="D4" s="29" t="s">
        <v>33</v>
      </c>
      <c r="E4" s="29" t="s">
        <v>62</v>
      </c>
      <c r="F4" s="29" t="s">
        <v>63</v>
      </c>
      <c r="G4" s="29" t="s">
        <v>46</v>
      </c>
      <c r="H4" s="29" t="s">
        <v>64</v>
      </c>
      <c r="I4" s="29" t="s">
        <v>65</v>
      </c>
      <c r="J4" s="29" t="s">
        <v>66</v>
      </c>
      <c r="K4" s="29" t="s">
        <v>67</v>
      </c>
      <c r="L4" s="29" t="s">
        <v>68</v>
      </c>
      <c r="M4" s="29" t="s">
        <v>69</v>
      </c>
      <c r="N4" s="29" t="s">
        <v>70</v>
      </c>
    </row>
    <row r="5" customFormat="false" ht="15" hidden="false" customHeight="false" outlineLevel="0" collapsed="false">
      <c r="A5" s="16" t="n">
        <f aca="false">MarketData!$A$51</f>
        <v>46195</v>
      </c>
      <c r="B5" s="21" t="n">
        <f aca="false">(A5-MarketData!$B$4)/360</f>
        <v>0.05</v>
      </c>
      <c r="C5" s="30" t="n">
        <f aca="false">EXP(INDEX(Bootstrap!$D$39:$D$59,MATCH($B5,Bootstrap!$B$39:$B$59,1))+(INDEX(Bootstrap!$D$39:$D$59,MATCH($B5,Bootstrap!$B$39:$B$59,1)+1)-INDEX(Bootstrap!$D$39:$D$59,MATCH($B5,Bootstrap!$B$39:$B$59,1)))*(($B5)-INDEX(Bootstrap!$B$39:$B$59,MATCH($B5,Bootstrap!$B$39:$B$59,1)))/(INDEX(Bootstrap!$B$39:$B$59,MATCH($B5,Bootstrap!$B$39:$B$59,1)+1)-INDEX(Bootstrap!$B$39:$B$59,MATCH($B5,Bootstrap!$B$39:$B$59,1))))</f>
        <v>0.998201555849254</v>
      </c>
      <c r="D5" s="30" t="n">
        <f aca="false">MarketData!$B$51</f>
        <v>0.998201258</v>
      </c>
      <c r="E5" s="31" t="n">
        <f aca="false">(LN(D5)-LN(C5))/B5*10000</f>
        <v>-0.0596771856695589</v>
      </c>
      <c r="F5" s="19" t="n">
        <f aca="false">A6</f>
        <v>46223</v>
      </c>
      <c r="G5" s="21" t="n">
        <f aca="false">(F5-A5)/360</f>
        <v>0.0777777777777778</v>
      </c>
      <c r="H5" s="19" t="n">
        <f aca="false">WORKDAY(A5,-5)</f>
        <v>46188</v>
      </c>
      <c r="I5" s="19" t="n">
        <f aca="false">WORKDAY(F5,-5)</f>
        <v>46216</v>
      </c>
      <c r="J5" s="18" t="n">
        <f aca="false">EXP(INDEX(Bootstrap!$D$39:$D$59,MATCH((($H5-MarketData!$B$4)/360),Bootstrap!$B$39:$B$59,1))+(INDEX(Bootstrap!$D$39:$D$59,MATCH((($H5-MarketData!$B$4)/360),Bootstrap!$B$39:$B$59,1)+1)-INDEX(Bootstrap!$D$39:$D$59,MATCH((($H5-MarketData!$B$4)/360),Bootstrap!$B$39:$B$59,1)))*(((($H5-MarketData!$B$4)/360))-INDEX(Bootstrap!$B$39:$B$59,MATCH((($H5-MarketData!$B$4)/360),Bootstrap!$B$39:$B$59,1)))/(INDEX(Bootstrap!$B$39:$B$59,MATCH((($H5-MarketData!$B$4)/360),Bootstrap!$B$39:$B$59,1)+1)-INDEX(Bootstrap!$B$39:$B$59,MATCH((($H5-MarketData!$B$4)/360),Bootstrap!$B$39:$B$59,1))))</f>
        <v>0.998902988621548</v>
      </c>
      <c r="K5" s="18" t="n">
        <f aca="false">EXP(INDEX(Bootstrap!$D$39:$D$59,MATCH((($I5-MarketData!$B$4)/360),Bootstrap!$B$39:$B$59,1))+(INDEX(Bootstrap!$D$39:$D$59,MATCH((($I5-MarketData!$B$4)/360),Bootstrap!$B$39:$B$59,1)+1)-INDEX(Bootstrap!$D$39:$D$59,MATCH((($I5-MarketData!$B$4)/360),Bootstrap!$B$39:$B$59,1)))*(((($I5-MarketData!$B$4)/360))-INDEX(Bootstrap!$B$39:$B$59,MATCH((($I5-MarketData!$B$4)/360),Bootstrap!$B$39:$B$59,1)))/(INDEX(Bootstrap!$B$39:$B$59,MATCH((($I5-MarketData!$B$4)/360),Bootstrap!$B$39:$B$59,1)+1)-INDEX(Bootstrap!$B$39:$B$59,MATCH((($I5-MarketData!$B$4)/360),Bootstrap!$B$39:$B$59,1))))</f>
        <v>0.996081070938</v>
      </c>
      <c r="L5" s="25" t="n">
        <f aca="false">(J5/K5-1)/G5</f>
        <v>0.0364245439924999</v>
      </c>
      <c r="M5" s="22" t="n">
        <f aca="false">MarketData!$C$51</f>
        <v>0.0362363028</v>
      </c>
      <c r="N5" s="31" t="n">
        <f aca="false">(L5-M5)*10000</f>
        <v>1.88241192499911</v>
      </c>
    </row>
    <row r="6" customFormat="false" ht="15" hidden="false" customHeight="false" outlineLevel="0" collapsed="false">
      <c r="A6" s="16" t="n">
        <f aca="false">MarketData!$A$52</f>
        <v>46223</v>
      </c>
      <c r="B6" s="21" t="n">
        <f aca="false">(A6-MarketData!$B$4)/360</f>
        <v>0.127777777777778</v>
      </c>
      <c r="C6" s="30" t="n">
        <f aca="false">EXP(INDEX(Bootstrap!$D$39:$D$59,MATCH($B6,Bootstrap!$B$39:$B$59,1))+(INDEX(Bootstrap!$D$39:$D$59,MATCH($B6,Bootstrap!$B$39:$B$59,1)+1)-INDEX(Bootstrap!$D$39:$D$59,MATCH($B6,Bootstrap!$B$39:$B$59,1)))*(($B6)-INDEX(Bootstrap!$B$39:$B$59,MATCH($B6,Bootstrap!$B$39:$B$59,1)))/(INDEX(Bootstrap!$B$39:$B$59,MATCH($B6,Bootstrap!$B$39:$B$59,1)+1)-INDEX(Bootstrap!$B$39:$B$59,MATCH($B6,Bootstrap!$B$39:$B$59,1))))</f>
        <v>0.995373143791585</v>
      </c>
      <c r="D6" s="30" t="n">
        <f aca="false">MarketData!$B$52</f>
        <v>0.995392835</v>
      </c>
      <c r="E6" s="31" t="n">
        <f aca="false">(LN(D6)-LN(C6))/B6*10000</f>
        <v>1.54819914529947</v>
      </c>
      <c r="F6" s="19" t="n">
        <f aca="false">A7</f>
        <v>46254</v>
      </c>
      <c r="G6" s="21" t="n">
        <f aca="false">(F6-A6)/360</f>
        <v>0.0861111111111111</v>
      </c>
      <c r="H6" s="19" t="n">
        <f aca="false">WORKDAY(A6,-5)</f>
        <v>46216</v>
      </c>
      <c r="I6" s="19" t="n">
        <f aca="false">WORKDAY(F6,-5)</f>
        <v>46247</v>
      </c>
      <c r="J6" s="18" t="n">
        <f aca="false">EXP(INDEX(Bootstrap!$D$39:$D$59,MATCH((($H6-MarketData!$B$4)/360),Bootstrap!$B$39:$B$59,1))+(INDEX(Bootstrap!$D$39:$D$59,MATCH((($H6-MarketData!$B$4)/360),Bootstrap!$B$39:$B$59,1)+1)-INDEX(Bootstrap!$D$39:$D$59,MATCH((($H6-MarketData!$B$4)/360),Bootstrap!$B$39:$B$59,1)))*(((($H6-MarketData!$B$4)/360))-INDEX(Bootstrap!$B$39:$B$59,MATCH((($H6-MarketData!$B$4)/360),Bootstrap!$B$39:$B$59,1)))/(INDEX(Bootstrap!$B$39:$B$59,MATCH((($H6-MarketData!$B$4)/360),Bootstrap!$B$39:$B$59,1)+1)-INDEX(Bootstrap!$B$39:$B$59,MATCH((($H6-MarketData!$B$4)/360),Bootstrap!$B$39:$B$59,1))))</f>
        <v>0.996081070938</v>
      </c>
      <c r="K6" s="18" t="n">
        <f aca="false">EXP(INDEX(Bootstrap!$D$39:$D$59,MATCH((($I6-MarketData!$B$4)/360),Bootstrap!$B$39:$B$59,1))+(INDEX(Bootstrap!$D$39:$D$59,MATCH((($I6-MarketData!$B$4)/360),Bootstrap!$B$39:$B$59,1)+1)-INDEX(Bootstrap!$D$39:$D$59,MATCH((($I6-MarketData!$B$4)/360),Bootstrap!$B$39:$B$59,1)))*(((($I6-MarketData!$B$4)/360))-INDEX(Bootstrap!$B$39:$B$59,MATCH((($I6-MarketData!$B$4)/360),Bootstrap!$B$39:$B$59,1)))/(INDEX(Bootstrap!$B$39:$B$59,MATCH((($I6-MarketData!$B$4)/360),Bootstrap!$B$39:$B$59,1)+1)-INDEX(Bootstrap!$B$39:$B$59,MATCH((($I6-MarketData!$B$4)/360),Bootstrap!$B$39:$B$59,1))))</f>
        <v>0.992949782507258</v>
      </c>
      <c r="L6" s="25" t="n">
        <f aca="false">(J6/K6-1)/G6</f>
        <v>0.0366215393355332</v>
      </c>
      <c r="M6" s="22" t="n">
        <f aca="false">MarketData!$C$52</f>
        <v>0.0364599575</v>
      </c>
      <c r="N6" s="31" t="n">
        <f aca="false">(L6-M6)*10000</f>
        <v>1.61581835533199</v>
      </c>
    </row>
    <row r="7" customFormat="false" ht="15" hidden="false" customHeight="false" outlineLevel="0" collapsed="false">
      <c r="A7" s="16" t="n">
        <f aca="false">MarketData!$A$53</f>
        <v>46254</v>
      </c>
      <c r="B7" s="21" t="n">
        <f aca="false">(A7-MarketData!$B$4)/360</f>
        <v>0.213888888888889</v>
      </c>
      <c r="C7" s="30" t="n">
        <f aca="false">EXP(INDEX(Bootstrap!$D$39:$D$59,MATCH($B7,Bootstrap!$B$39:$B$59,1))+(INDEX(Bootstrap!$D$39:$D$59,MATCH($B7,Bootstrap!$B$39:$B$59,1)+1)-INDEX(Bootstrap!$D$39:$D$59,MATCH($B7,Bootstrap!$B$39:$B$59,1)))*(($B7)-INDEX(Bootstrap!$B$39:$B$59,MATCH($B7,Bootstrap!$B$39:$B$59,1)))/(INDEX(Bootstrap!$B$39:$B$59,MATCH($B7,Bootstrap!$B$39:$B$59,1)+1)-INDEX(Bootstrap!$B$39:$B$59,MATCH($B7,Bootstrap!$B$39:$B$59,1))))</f>
        <v>0.992244080806289</v>
      </c>
      <c r="D7" s="30" t="n">
        <f aca="false">MarketData!$B$53</f>
        <v>0.992269847</v>
      </c>
      <c r="E7" s="31" t="n">
        <f aca="false">(LN(D7)-LN(C7))/B7*10000</f>
        <v>1.21405367397067</v>
      </c>
      <c r="F7" s="19" t="n">
        <f aca="false">A8</f>
        <v>46286</v>
      </c>
      <c r="G7" s="21" t="n">
        <f aca="false">(F7-A7)/360</f>
        <v>0.0888888888888889</v>
      </c>
      <c r="H7" s="19" t="n">
        <f aca="false">WORKDAY(A7,-5)</f>
        <v>46247</v>
      </c>
      <c r="I7" s="19" t="n">
        <f aca="false">WORKDAY(F7,-5)</f>
        <v>46279</v>
      </c>
      <c r="J7" s="18" t="n">
        <f aca="false">EXP(INDEX(Bootstrap!$D$39:$D$59,MATCH((($H7-MarketData!$B$4)/360),Bootstrap!$B$39:$B$59,1))+(INDEX(Bootstrap!$D$39:$D$59,MATCH((($H7-MarketData!$B$4)/360),Bootstrap!$B$39:$B$59,1)+1)-INDEX(Bootstrap!$D$39:$D$59,MATCH((($H7-MarketData!$B$4)/360),Bootstrap!$B$39:$B$59,1)))*(((($H7-MarketData!$B$4)/360))-INDEX(Bootstrap!$B$39:$B$59,MATCH((($H7-MarketData!$B$4)/360),Bootstrap!$B$39:$B$59,1)))/(INDEX(Bootstrap!$B$39:$B$59,MATCH((($H7-MarketData!$B$4)/360),Bootstrap!$B$39:$B$59,1)+1)-INDEX(Bootstrap!$B$39:$B$59,MATCH((($H7-MarketData!$B$4)/360),Bootstrap!$B$39:$B$59,1))))</f>
        <v>0.992949782507258</v>
      </c>
      <c r="K7" s="18" t="n">
        <f aca="false">EXP(INDEX(Bootstrap!$D$39:$D$59,MATCH((($I7-MarketData!$B$4)/360),Bootstrap!$B$39:$B$59,1))+(INDEX(Bootstrap!$D$39:$D$59,MATCH((($I7-MarketData!$B$4)/360),Bootstrap!$B$39:$B$59,1)+1)-INDEX(Bootstrap!$D$39:$D$59,MATCH((($I7-MarketData!$B$4)/360),Bootstrap!$B$39:$B$59,1)))*(((($I7-MarketData!$B$4)/360))-INDEX(Bootstrap!$B$39:$B$59,MATCH((($I7-MarketData!$B$4)/360),Bootstrap!$B$39:$B$59,1)))/(INDEX(Bootstrap!$B$39:$B$59,MATCH((($I7-MarketData!$B$4)/360),Bootstrap!$B$39:$B$59,1)+1)-INDEX(Bootstrap!$B$39:$B$59,MATCH((($I7-MarketData!$B$4)/360),Bootstrap!$B$39:$B$59,1))))</f>
        <v>0.989727809388407</v>
      </c>
      <c r="L7" s="25" t="n">
        <f aca="false">(J7/K7-1)/G7</f>
        <v>0.0366234001340929</v>
      </c>
      <c r="M7" s="22" t="n">
        <f aca="false">MarketData!$C$53</f>
        <v>0.0366788419</v>
      </c>
      <c r="N7" s="31" t="n">
        <f aca="false">(L7-M7)*10000</f>
        <v>-0.554417659071257</v>
      </c>
    </row>
    <row r="8" customFormat="false" ht="15" hidden="false" customHeight="false" outlineLevel="0" collapsed="false">
      <c r="A8" s="16" t="n">
        <f aca="false">MarketData!$A$54</f>
        <v>46286</v>
      </c>
      <c r="B8" s="21" t="n">
        <f aca="false">(A8-MarketData!$B$4)/360</f>
        <v>0.302777777777778</v>
      </c>
      <c r="C8" s="30" t="n">
        <f aca="false">EXP(INDEX(Bootstrap!$D$39:$D$59,MATCH($B8,Bootstrap!$B$39:$B$59,1))+(INDEX(Bootstrap!$D$39:$D$59,MATCH($B8,Bootstrap!$B$39:$B$59,1)+1)-INDEX(Bootstrap!$D$39:$D$59,MATCH($B8,Bootstrap!$B$39:$B$59,1)))*(($B8)-INDEX(Bootstrap!$B$39:$B$59,MATCH($B8,Bootstrap!$B$39:$B$59,1)))/(INDEX(Bootstrap!$B$39:$B$59,MATCH($B8,Bootstrap!$B$39:$B$59,1)+1)-INDEX(Bootstrap!$B$39:$B$59,MATCH($B8,Bootstrap!$B$39:$B$59,1))))</f>
        <v>0.989017821627946</v>
      </c>
      <c r="D8" s="30" t="n">
        <f aca="false">MarketData!$B$54</f>
        <v>0.989039222</v>
      </c>
      <c r="E8" s="31" t="n">
        <f aca="false">(LN(D8)-LN(C8))/B8*10000</f>
        <v>0.714641957512062</v>
      </c>
      <c r="F8" s="19" t="n">
        <f aca="false">A9</f>
        <v>46315</v>
      </c>
      <c r="G8" s="21" t="n">
        <f aca="false">(F8-A8)/360</f>
        <v>0.0805555555555556</v>
      </c>
      <c r="H8" s="19" t="n">
        <f aca="false">WORKDAY(A8,-5)</f>
        <v>46279</v>
      </c>
      <c r="I8" s="19" t="n">
        <f aca="false">WORKDAY(F8,-5)</f>
        <v>46308</v>
      </c>
      <c r="J8" s="18" t="n">
        <f aca="false">EXP(INDEX(Bootstrap!$D$39:$D$59,MATCH((($H8-MarketData!$B$4)/360),Bootstrap!$B$39:$B$59,1))+(INDEX(Bootstrap!$D$39:$D$59,MATCH((($H8-MarketData!$B$4)/360),Bootstrap!$B$39:$B$59,1)+1)-INDEX(Bootstrap!$D$39:$D$59,MATCH((($H8-MarketData!$B$4)/360),Bootstrap!$B$39:$B$59,1)))*(((($H8-MarketData!$B$4)/360))-INDEX(Bootstrap!$B$39:$B$59,MATCH((($H8-MarketData!$B$4)/360),Bootstrap!$B$39:$B$59,1)))/(INDEX(Bootstrap!$B$39:$B$59,MATCH((($H8-MarketData!$B$4)/360),Bootstrap!$B$39:$B$59,1)+1)-INDEX(Bootstrap!$B$39:$B$59,MATCH((($H8-MarketData!$B$4)/360),Bootstrap!$B$39:$B$59,1))))</f>
        <v>0.989727809388407</v>
      </c>
      <c r="K8" s="18" t="n">
        <f aca="false">EXP(INDEX(Bootstrap!$D$39:$D$59,MATCH((($I8-MarketData!$B$4)/360),Bootstrap!$B$39:$B$59,1))+(INDEX(Bootstrap!$D$39:$D$59,MATCH((($I8-MarketData!$B$4)/360),Bootstrap!$B$39:$B$59,1)+1)-INDEX(Bootstrap!$D$39:$D$59,MATCH((($I8-MarketData!$B$4)/360),Bootstrap!$B$39:$B$59,1)))*(((($I8-MarketData!$B$4)/360))-INDEX(Bootstrap!$B$39:$B$59,MATCH((($I8-MarketData!$B$4)/360),Bootstrap!$B$39:$B$59,1)))/(INDEX(Bootstrap!$B$39:$B$59,MATCH((($I8-MarketData!$B$4)/360),Bootstrap!$B$39:$B$59,1)+1)-INDEX(Bootstrap!$B$39:$B$59,MATCH((($I8-MarketData!$B$4)/360),Bootstrap!$B$39:$B$59,1))))</f>
        <v>0.986774280191052</v>
      </c>
      <c r="L8" s="25" t="n">
        <f aca="false">(J8/K8-1)/G8</f>
        <v>0.0371559140899586</v>
      </c>
      <c r="M8" s="22" t="n">
        <f aca="false">MarketData!$C$54</f>
        <v>0.0371612259</v>
      </c>
      <c r="N8" s="31" t="n">
        <f aca="false">(L8-M8)*10000</f>
        <v>-0.0531181004143066</v>
      </c>
    </row>
    <row r="9" customFormat="false" ht="15" hidden="false" customHeight="false" outlineLevel="0" collapsed="false">
      <c r="A9" s="16" t="n">
        <f aca="false">MarketData!$A$55</f>
        <v>46315</v>
      </c>
      <c r="B9" s="21" t="n">
        <f aca="false">(A9-MarketData!$B$4)/360</f>
        <v>0.383333333333333</v>
      </c>
      <c r="C9" s="30" t="n">
        <f aca="false">EXP(INDEX(Bootstrap!$D$39:$D$59,MATCH($B9,Bootstrap!$B$39:$B$59,1))+(INDEX(Bootstrap!$D$39:$D$59,MATCH($B9,Bootstrap!$B$39:$B$59,1)+1)-INDEX(Bootstrap!$D$39:$D$59,MATCH($B9,Bootstrap!$B$39:$B$59,1)))*(($B9)-INDEX(Bootstrap!$B$39:$B$59,MATCH($B9,Bootstrap!$B$39:$B$59,1)))/(INDEX(Bootstrap!$B$39:$B$59,MATCH($B9,Bootstrap!$B$39:$B$59,1)+1)-INDEX(Bootstrap!$B$39:$B$59,MATCH($B9,Bootstrap!$B$39:$B$59,1))))</f>
        <v>0.986061493943957</v>
      </c>
      <c r="D9" s="30" t="n">
        <f aca="false">MarketData!$B$55</f>
        <v>0.98608283</v>
      </c>
      <c r="E9" s="31" t="n">
        <f aca="false">(LN(D9)-LN(C9))/B9*10000</f>
        <v>0.564454395766167</v>
      </c>
      <c r="F9" s="19" t="n">
        <f aca="false">A10</f>
        <v>46346</v>
      </c>
      <c r="G9" s="21" t="n">
        <f aca="false">(F9-A9)/360</f>
        <v>0.0861111111111111</v>
      </c>
      <c r="H9" s="19" t="n">
        <f aca="false">WORKDAY(A9,-5)</f>
        <v>46308</v>
      </c>
      <c r="I9" s="19" t="n">
        <f aca="false">WORKDAY(F9,-5)</f>
        <v>46339</v>
      </c>
      <c r="J9" s="18" t="n">
        <f aca="false">EXP(INDEX(Bootstrap!$D$39:$D$59,MATCH((($H9-MarketData!$B$4)/360),Bootstrap!$B$39:$B$59,1))+(INDEX(Bootstrap!$D$39:$D$59,MATCH((($H9-MarketData!$B$4)/360),Bootstrap!$B$39:$B$59,1)+1)-INDEX(Bootstrap!$D$39:$D$59,MATCH((($H9-MarketData!$B$4)/360),Bootstrap!$B$39:$B$59,1)))*(((($H9-MarketData!$B$4)/360))-INDEX(Bootstrap!$B$39:$B$59,MATCH((($H9-MarketData!$B$4)/360),Bootstrap!$B$39:$B$59,1)))/(INDEX(Bootstrap!$B$39:$B$59,MATCH((($H9-MarketData!$B$4)/360),Bootstrap!$B$39:$B$59,1)+1)-INDEX(Bootstrap!$B$39:$B$59,MATCH((($H9-MarketData!$B$4)/360),Bootstrap!$B$39:$B$59,1))))</f>
        <v>0.986774280191052</v>
      </c>
      <c r="K9" s="18" t="n">
        <f aca="false">EXP(INDEX(Bootstrap!$D$39:$D$59,MATCH((($I9-MarketData!$B$4)/360),Bootstrap!$B$39:$B$59,1))+(INDEX(Bootstrap!$D$39:$D$59,MATCH((($I9-MarketData!$B$4)/360),Bootstrap!$B$39:$B$59,1)+1)-INDEX(Bootstrap!$D$39:$D$59,MATCH((($I9-MarketData!$B$4)/360),Bootstrap!$B$39:$B$59,1)))*(((($I9-MarketData!$B$4)/360))-INDEX(Bootstrap!$B$39:$B$59,MATCH((($I9-MarketData!$B$4)/360),Bootstrap!$B$39:$B$59,1)))/(INDEX(Bootstrap!$B$39:$B$59,MATCH((($I9-MarketData!$B$4)/360),Bootstrap!$B$39:$B$59,1)+1)-INDEX(Bootstrap!$B$39:$B$59,MATCH((($I9-MarketData!$B$4)/360),Bootstrap!$B$39:$B$59,1))))</f>
        <v>0.983603770727434</v>
      </c>
      <c r="L9" s="25" t="n">
        <f aca="false">(J9/K9-1)/G9</f>
        <v>0.0374325726204461</v>
      </c>
      <c r="M9" s="22" t="n">
        <f aca="false">MarketData!$C$55</f>
        <v>0.037432255</v>
      </c>
      <c r="N9" s="31" t="n">
        <f aca="false">(L9-M9)*10000</f>
        <v>0.00317620446083078</v>
      </c>
    </row>
    <row r="10" customFormat="false" ht="15" hidden="false" customHeight="false" outlineLevel="0" collapsed="false">
      <c r="A10" s="16" t="n">
        <f aca="false">MarketData!$A$56</f>
        <v>46346</v>
      </c>
      <c r="B10" s="21" t="n">
        <f aca="false">(A10-MarketData!$B$4)/360</f>
        <v>0.469444444444444</v>
      </c>
      <c r="C10" s="30" t="n">
        <f aca="false">EXP(INDEX(Bootstrap!$D$39:$D$59,MATCH($B10,Bootstrap!$B$39:$B$59,1))+(INDEX(Bootstrap!$D$39:$D$59,MATCH($B10,Bootstrap!$B$39:$B$59,1)+1)-INDEX(Bootstrap!$D$39:$D$59,MATCH($B10,Bootstrap!$B$39:$B$59,1)))*(($B10)-INDEX(Bootstrap!$B$39:$B$59,MATCH($B10,Bootstrap!$B$39:$B$59,1)))/(INDEX(Bootstrap!$B$39:$B$59,MATCH($B10,Bootstrap!$B$39:$B$59,1)+1)-INDEX(Bootstrap!$B$39:$B$59,MATCH($B10,Bootstrap!$B$39:$B$59,1))))</f>
        <v>0.982884978208876</v>
      </c>
      <c r="D10" s="30" t="n">
        <f aca="false">MarketData!$B$56</f>
        <v>0.982906246</v>
      </c>
      <c r="E10" s="31" t="n">
        <f aca="false">(LN(D10)-LN(C10))/B10*10000</f>
        <v>0.460925553901312</v>
      </c>
      <c r="F10" s="19" t="n">
        <f aca="false">A11</f>
        <v>46377</v>
      </c>
      <c r="G10" s="21" t="n">
        <f aca="false">(F10-A10)/360</f>
        <v>0.0861111111111111</v>
      </c>
      <c r="H10" s="19" t="n">
        <f aca="false">WORKDAY(A10,-5)</f>
        <v>46339</v>
      </c>
      <c r="I10" s="19" t="n">
        <f aca="false">WORKDAY(F10,-5)</f>
        <v>46370</v>
      </c>
      <c r="J10" s="18" t="n">
        <f aca="false">EXP(INDEX(Bootstrap!$D$39:$D$59,MATCH((($H10-MarketData!$B$4)/360),Bootstrap!$B$39:$B$59,1))+(INDEX(Bootstrap!$D$39:$D$59,MATCH((($H10-MarketData!$B$4)/360),Bootstrap!$B$39:$B$59,1)+1)-INDEX(Bootstrap!$D$39:$D$59,MATCH((($H10-MarketData!$B$4)/360),Bootstrap!$B$39:$B$59,1)))*(((($H10-MarketData!$B$4)/360))-INDEX(Bootstrap!$B$39:$B$59,MATCH((($H10-MarketData!$B$4)/360),Bootstrap!$B$39:$B$59,1)))/(INDEX(Bootstrap!$B$39:$B$59,MATCH((($H10-MarketData!$B$4)/360),Bootstrap!$B$39:$B$59,1)+1)-INDEX(Bootstrap!$B$39:$B$59,MATCH((($H10-MarketData!$B$4)/360),Bootstrap!$B$39:$B$59,1))))</f>
        <v>0.983603770727434</v>
      </c>
      <c r="K10" s="18" t="n">
        <f aca="false">EXP(INDEX(Bootstrap!$D$39:$D$59,MATCH((($I10-MarketData!$B$4)/360),Bootstrap!$B$39:$B$59,1))+(INDEX(Bootstrap!$D$39:$D$59,MATCH((($I10-MarketData!$B$4)/360),Bootstrap!$B$39:$B$59,1)+1)-INDEX(Bootstrap!$D$39:$D$59,MATCH((($I10-MarketData!$B$4)/360),Bootstrap!$B$39:$B$59,1)))*(((($I10-MarketData!$B$4)/360))-INDEX(Bootstrap!$B$39:$B$59,MATCH((($I10-MarketData!$B$4)/360),Bootstrap!$B$39:$B$59,1)))/(INDEX(Bootstrap!$B$39:$B$59,MATCH((($I10-MarketData!$B$4)/360),Bootstrap!$B$39:$B$59,1)+1)-INDEX(Bootstrap!$B$39:$B$59,MATCH((($I10-MarketData!$B$4)/360),Bootstrap!$B$39:$B$59,1))))</f>
        <v>0.980414191109538</v>
      </c>
      <c r="L10" s="25" t="n">
        <f aca="false">(J10/K10-1)/G10</f>
        <v>0.0377802359140787</v>
      </c>
      <c r="M10" s="22" t="n">
        <f aca="false">MarketData!$C$56</f>
        <v>0.0377402902</v>
      </c>
      <c r="N10" s="31" t="n">
        <f aca="false">(L10-M10)*10000</f>
        <v>0.399457140786846</v>
      </c>
    </row>
    <row r="11" customFormat="false" ht="15" hidden="false" customHeight="false" outlineLevel="0" collapsed="false">
      <c r="A11" s="16" t="n">
        <f aca="false">MarketData!$A$57</f>
        <v>46377</v>
      </c>
      <c r="B11" s="21" t="n">
        <f aca="false">(A11-MarketData!$B$4)/360</f>
        <v>0.555555555555556</v>
      </c>
      <c r="C11" s="30" t="n">
        <f aca="false">EXP(INDEX(Bootstrap!$D$39:$D$59,MATCH($B11,Bootstrap!$B$39:$B$59,1))+(INDEX(Bootstrap!$D$39:$D$59,MATCH($B11,Bootstrap!$B$39:$B$59,1)+1)-INDEX(Bootstrap!$D$39:$D$59,MATCH($B11,Bootstrap!$B$39:$B$59,1)))*(($B11)-INDEX(Bootstrap!$B$39:$B$59,MATCH($B11,Bootstrap!$B$39:$B$59,1)))/(INDEX(Bootstrap!$B$39:$B$59,MATCH($B11,Bootstrap!$B$39:$B$59,1)+1)-INDEX(Bootstrap!$B$39:$B$59,MATCH($B11,Bootstrap!$B$39:$B$59,1))))</f>
        <v>0.979679646099682</v>
      </c>
      <c r="D11" s="30" t="n">
        <f aca="false">MarketData!$B$57</f>
        <v>0.979710008</v>
      </c>
      <c r="E11" s="31" t="n">
        <f aca="false">(LN(D11)-LN(C11))/B11*10000</f>
        <v>0.557841269224472</v>
      </c>
      <c r="F11" s="19" t="n">
        <f aca="false">A12</f>
        <v>46407</v>
      </c>
      <c r="G11" s="21" t="n">
        <f aca="false">(F11-A11)/360</f>
        <v>0.0833333333333333</v>
      </c>
      <c r="H11" s="19" t="n">
        <f aca="false">WORKDAY(A11,-5)</f>
        <v>46370</v>
      </c>
      <c r="I11" s="19" t="n">
        <f aca="false">WORKDAY(F11,-5)</f>
        <v>46400</v>
      </c>
      <c r="J11" s="18" t="n">
        <f aca="false">EXP(INDEX(Bootstrap!$D$39:$D$59,MATCH((($H11-MarketData!$B$4)/360),Bootstrap!$B$39:$B$59,1))+(INDEX(Bootstrap!$D$39:$D$59,MATCH((($H11-MarketData!$B$4)/360),Bootstrap!$B$39:$B$59,1)+1)-INDEX(Bootstrap!$D$39:$D$59,MATCH((($H11-MarketData!$B$4)/360),Bootstrap!$B$39:$B$59,1)))*(((($H11-MarketData!$B$4)/360))-INDEX(Bootstrap!$B$39:$B$59,MATCH((($H11-MarketData!$B$4)/360),Bootstrap!$B$39:$B$59,1)))/(INDEX(Bootstrap!$B$39:$B$59,MATCH((($H11-MarketData!$B$4)/360),Bootstrap!$B$39:$B$59,1)+1)-INDEX(Bootstrap!$B$39:$B$59,MATCH((($H11-MarketData!$B$4)/360),Bootstrap!$B$39:$B$59,1))))</f>
        <v>0.980414191109538</v>
      </c>
      <c r="K11" s="18" t="n">
        <f aca="false">EXP(INDEX(Bootstrap!$D$39:$D$59,MATCH((($I11-MarketData!$B$4)/360),Bootstrap!$B$39:$B$59,1))+(INDEX(Bootstrap!$D$39:$D$59,MATCH((($I11-MarketData!$B$4)/360),Bootstrap!$B$39:$B$59,1)+1)-INDEX(Bootstrap!$D$39:$D$59,MATCH((($I11-MarketData!$B$4)/360),Bootstrap!$B$39:$B$59,1)))*(((($I11-MarketData!$B$4)/360))-INDEX(Bootstrap!$B$39:$B$59,MATCH((($I11-MarketData!$B$4)/360),Bootstrap!$B$39:$B$59,1)))/(INDEX(Bootstrap!$B$39:$B$59,MATCH((($I11-MarketData!$B$4)/360),Bootstrap!$B$39:$B$59,1)+1)-INDEX(Bootstrap!$B$39:$B$59,MATCH((($I11-MarketData!$B$4)/360),Bootstrap!$B$39:$B$59,1))))</f>
        <v>0.977270013664529</v>
      </c>
      <c r="L11" s="25" t="n">
        <f aca="false">(J11/K11-1)/G11</f>
        <v>0.038607681411019</v>
      </c>
      <c r="M11" s="22" t="n">
        <f aca="false">MarketData!$C$57</f>
        <v>0.0386336547</v>
      </c>
      <c r="N11" s="31" t="n">
        <f aca="false">(L11-M11)*10000</f>
        <v>-0.259732889809974</v>
      </c>
    </row>
    <row r="12" customFormat="false" ht="15" hidden="false" customHeight="false" outlineLevel="0" collapsed="false">
      <c r="A12" s="16" t="n">
        <f aca="false">MarketData!$A$58</f>
        <v>46407</v>
      </c>
      <c r="B12" s="21" t="n">
        <f aca="false">(A12-MarketData!$B$4)/360</f>
        <v>0.638888888888889</v>
      </c>
      <c r="C12" s="30" t="n">
        <f aca="false">EXP(INDEX(Bootstrap!$D$39:$D$59,MATCH($B12,Bootstrap!$B$39:$B$59,1))+(INDEX(Bootstrap!$D$39:$D$59,MATCH($B12,Bootstrap!$B$39:$B$59,1)+1)-INDEX(Bootstrap!$D$39:$D$59,MATCH($B12,Bootstrap!$B$39:$B$59,1)))*(($B12)-INDEX(Bootstrap!$B$39:$B$59,MATCH($B12,Bootstrap!$B$39:$B$59,1)))/(INDEX(Bootstrap!$B$39:$B$59,MATCH($B12,Bootstrap!$B$39:$B$59,1)+1)-INDEX(Bootstrap!$B$39:$B$59,MATCH($B12,Bootstrap!$B$39:$B$59,1))))</f>
        <v>0.976537824332379</v>
      </c>
      <c r="D12" s="30" t="n">
        <f aca="false">MarketData!$B$58</f>
        <v>0.976552311</v>
      </c>
      <c r="E12" s="31" t="n">
        <f aca="false">(LN(D12)-LN(C12))/B12*10000</f>
        <v>0.232193934042283</v>
      </c>
      <c r="F12" s="19" t="n">
        <f aca="false">A13</f>
        <v>46440</v>
      </c>
      <c r="G12" s="21" t="n">
        <f aca="false">(F12-A12)/360</f>
        <v>0.0916666666666667</v>
      </c>
      <c r="H12" s="19" t="n">
        <f aca="false">WORKDAY(A12,-5)</f>
        <v>46400</v>
      </c>
      <c r="I12" s="19" t="n">
        <f aca="false">WORKDAY(F12,-5)</f>
        <v>46433</v>
      </c>
      <c r="J12" s="18" t="n">
        <f aca="false">EXP(INDEX(Bootstrap!$D$39:$D$59,MATCH((($H12-MarketData!$B$4)/360),Bootstrap!$B$39:$B$59,1))+(INDEX(Bootstrap!$D$39:$D$59,MATCH((($H12-MarketData!$B$4)/360),Bootstrap!$B$39:$B$59,1)+1)-INDEX(Bootstrap!$D$39:$D$59,MATCH((($H12-MarketData!$B$4)/360),Bootstrap!$B$39:$B$59,1)))*(((($H12-MarketData!$B$4)/360))-INDEX(Bootstrap!$B$39:$B$59,MATCH((($H12-MarketData!$B$4)/360),Bootstrap!$B$39:$B$59,1)))/(INDEX(Bootstrap!$B$39:$B$59,MATCH((($H12-MarketData!$B$4)/360),Bootstrap!$B$39:$B$59,1)+1)-INDEX(Bootstrap!$B$39:$B$59,MATCH((($H12-MarketData!$B$4)/360),Bootstrap!$B$39:$B$59,1))))</f>
        <v>0.977270013664529</v>
      </c>
      <c r="K12" s="18" t="n">
        <f aca="false">EXP(INDEX(Bootstrap!$D$39:$D$59,MATCH((($I12-MarketData!$B$4)/360),Bootstrap!$B$39:$B$59,1))+(INDEX(Bootstrap!$D$39:$D$59,MATCH((($I12-MarketData!$B$4)/360),Bootstrap!$B$39:$B$59,1)+1)-INDEX(Bootstrap!$D$39:$D$59,MATCH((($I12-MarketData!$B$4)/360),Bootstrap!$B$39:$B$59,1)))*(((($I12-MarketData!$B$4)/360))-INDEX(Bootstrap!$B$39:$B$59,MATCH((($I12-MarketData!$B$4)/360),Bootstrap!$B$39:$B$59,1)))/(INDEX(Bootstrap!$B$39:$B$59,MATCH((($I12-MarketData!$B$4)/360),Bootstrap!$B$39:$B$59,1)+1)-INDEX(Bootstrap!$B$39:$B$59,MATCH((($I12-MarketData!$B$4)/360),Bootstrap!$B$39:$B$59,1))))</f>
        <v>0.973823354107749</v>
      </c>
      <c r="L12" s="25" t="n">
        <f aca="false">(J12/K12-1)/G12</f>
        <v>0.0386106189372069</v>
      </c>
      <c r="M12" s="22" t="n">
        <f aca="false">MarketData!$C$58</f>
        <v>0.0384701684</v>
      </c>
      <c r="N12" s="31" t="n">
        <f aca="false">(L12-M12)*10000</f>
        <v>1.40450537206877</v>
      </c>
    </row>
    <row r="13" customFormat="false" ht="15" hidden="false" customHeight="false" outlineLevel="0" collapsed="false">
      <c r="A13" s="16" t="n">
        <f aca="false">MarketData!$A$59</f>
        <v>46440</v>
      </c>
      <c r="B13" s="21" t="n">
        <f aca="false">(A13-MarketData!$B$4)/360</f>
        <v>0.730555555555556</v>
      </c>
      <c r="C13" s="30" t="n">
        <f aca="false">EXP(INDEX(Bootstrap!$D$39:$D$59,MATCH($B13,Bootstrap!$B$39:$B$59,1))+(INDEX(Bootstrap!$D$39:$D$59,MATCH($B13,Bootstrap!$B$39:$B$59,1)+1)-INDEX(Bootstrap!$D$39:$D$59,MATCH($B13,Bootstrap!$B$39:$B$59,1)))*(($B13)-INDEX(Bootstrap!$B$39:$B$59,MATCH($B13,Bootstrap!$B$39:$B$59,1)))/(INDEX(Bootstrap!$B$39:$B$59,MATCH($B13,Bootstrap!$B$39:$B$59,1)+1)-INDEX(Bootstrap!$B$39:$B$59,MATCH($B13,Bootstrap!$B$39:$B$59,1))))</f>
        <v>0.973093860012264</v>
      </c>
      <c r="D13" s="30" t="n">
        <f aca="false">MarketData!$B$59</f>
        <v>0.973114916</v>
      </c>
      <c r="E13" s="31" t="n">
        <f aca="false">(LN(D13)-LN(C13))/B13*10000</f>
        <v>0.296184918179817</v>
      </c>
      <c r="F13" s="19" t="n">
        <f aca="false">A14</f>
        <v>46468</v>
      </c>
      <c r="G13" s="21" t="n">
        <f aca="false">(F13-A13)/360</f>
        <v>0.0777777777777778</v>
      </c>
      <c r="H13" s="19" t="n">
        <f aca="false">WORKDAY(A13,-5)</f>
        <v>46433</v>
      </c>
      <c r="I13" s="19" t="n">
        <f aca="false">WORKDAY(F13,-5)</f>
        <v>46461</v>
      </c>
      <c r="J13" s="18" t="n">
        <f aca="false">EXP(INDEX(Bootstrap!$D$39:$D$59,MATCH((($H13-MarketData!$B$4)/360),Bootstrap!$B$39:$B$59,1))+(INDEX(Bootstrap!$D$39:$D$59,MATCH((($H13-MarketData!$B$4)/360),Bootstrap!$B$39:$B$59,1)+1)-INDEX(Bootstrap!$D$39:$D$59,MATCH((($H13-MarketData!$B$4)/360),Bootstrap!$B$39:$B$59,1)))*(((($H13-MarketData!$B$4)/360))-INDEX(Bootstrap!$B$39:$B$59,MATCH((($H13-MarketData!$B$4)/360),Bootstrap!$B$39:$B$59,1)))/(INDEX(Bootstrap!$B$39:$B$59,MATCH((($H13-MarketData!$B$4)/360),Bootstrap!$B$39:$B$59,1)+1)-INDEX(Bootstrap!$B$39:$B$59,MATCH((($H13-MarketData!$B$4)/360),Bootstrap!$B$39:$B$59,1))))</f>
        <v>0.973823354107749</v>
      </c>
      <c r="K13" s="18" t="n">
        <f aca="false">EXP(INDEX(Bootstrap!$D$39:$D$59,MATCH((($I13-MarketData!$B$4)/360),Bootstrap!$B$39:$B$59,1))+(INDEX(Bootstrap!$D$39:$D$59,MATCH((($I13-MarketData!$B$4)/360),Bootstrap!$B$39:$B$59,1)+1)-INDEX(Bootstrap!$D$39:$D$59,MATCH((($I13-MarketData!$B$4)/360),Bootstrap!$B$39:$B$59,1)))*(((($I13-MarketData!$B$4)/360))-INDEX(Bootstrap!$B$39:$B$59,MATCH((($I13-MarketData!$B$4)/360),Bootstrap!$B$39:$B$59,1)))/(INDEX(Bootstrap!$B$39:$B$59,MATCH((($I13-MarketData!$B$4)/360),Bootstrap!$B$39:$B$59,1)+1)-INDEX(Bootstrap!$B$39:$B$59,MATCH((($I13-MarketData!$B$4)/360),Bootstrap!$B$39:$B$59,1))))</f>
        <v>0.970908654886419</v>
      </c>
      <c r="L13" s="25" t="n">
        <f aca="false">(J13/K13-1)/G13</f>
        <v>0.0385975591891454</v>
      </c>
      <c r="M13" s="22" t="n">
        <f aca="false">MarketData!$C$59</f>
        <v>0.0385977809</v>
      </c>
      <c r="N13" s="31" t="n">
        <f aca="false">(L13-M13)*10000</f>
        <v>-0.00221710854640678</v>
      </c>
    </row>
    <row r="14" customFormat="false" ht="15" hidden="false" customHeight="false" outlineLevel="0" collapsed="false">
      <c r="A14" s="16" t="n">
        <f aca="false">MarketData!$A$60</f>
        <v>46468</v>
      </c>
      <c r="B14" s="21" t="n">
        <f aca="false">(A14-MarketData!$B$4)/360</f>
        <v>0.808333333333333</v>
      </c>
      <c r="C14" s="30" t="n">
        <f aca="false">EXP(INDEX(Bootstrap!$D$39:$D$59,MATCH($B14,Bootstrap!$B$39:$B$59,1))+(INDEX(Bootstrap!$D$39:$D$59,MATCH($B14,Bootstrap!$B$39:$B$59,1)+1)-INDEX(Bootstrap!$D$39:$D$59,MATCH($B14,Bootstrap!$B$39:$B$59,1)))*(($B14)-INDEX(Bootstrap!$B$39:$B$59,MATCH($B14,Bootstrap!$B$39:$B$59,1)))/(INDEX(Bootstrap!$B$39:$B$59,MATCH($B14,Bootstrap!$B$39:$B$59,1)+1)-INDEX(Bootstrap!$B$39:$B$59,MATCH($B14,Bootstrap!$B$39:$B$59,1))))</f>
        <v>0.970174288713526</v>
      </c>
      <c r="D14" s="30" t="n">
        <f aca="false">MarketData!$B$60</f>
        <v>0.970195281</v>
      </c>
      <c r="E14" s="31" t="n">
        <f aca="false">(LN(D14)-LN(C14))/B14*10000</f>
        <v>0.26767930545676</v>
      </c>
      <c r="F14" s="19" t="n">
        <f aca="false">A15</f>
        <v>46497</v>
      </c>
      <c r="G14" s="21" t="n">
        <f aca="false">(F14-A14)/360</f>
        <v>0.0805555555555556</v>
      </c>
      <c r="H14" s="19" t="n">
        <f aca="false">WORKDAY(A14,-5)</f>
        <v>46461</v>
      </c>
      <c r="I14" s="19" t="n">
        <f aca="false">WORKDAY(F14,-5)</f>
        <v>46490</v>
      </c>
      <c r="J14" s="18" t="n">
        <f aca="false">EXP(INDEX(Bootstrap!$D$39:$D$59,MATCH((($H14-MarketData!$B$4)/360),Bootstrap!$B$39:$B$59,1))+(INDEX(Bootstrap!$D$39:$D$59,MATCH((($H14-MarketData!$B$4)/360),Bootstrap!$B$39:$B$59,1)+1)-INDEX(Bootstrap!$D$39:$D$59,MATCH((($H14-MarketData!$B$4)/360),Bootstrap!$B$39:$B$59,1)))*(((($H14-MarketData!$B$4)/360))-INDEX(Bootstrap!$B$39:$B$59,MATCH((($H14-MarketData!$B$4)/360),Bootstrap!$B$39:$B$59,1)))/(INDEX(Bootstrap!$B$39:$B$59,MATCH((($H14-MarketData!$B$4)/360),Bootstrap!$B$39:$B$59,1)+1)-INDEX(Bootstrap!$B$39:$B$59,MATCH((($H14-MarketData!$B$4)/360),Bootstrap!$B$39:$B$59,1))))</f>
        <v>0.970908654886419</v>
      </c>
      <c r="K14" s="18" t="n">
        <f aca="false">EXP(INDEX(Bootstrap!$D$39:$D$59,MATCH((($I14-MarketData!$B$4)/360),Bootstrap!$B$39:$B$59,1))+(INDEX(Bootstrap!$D$39:$D$59,MATCH((($I14-MarketData!$B$4)/360),Bootstrap!$B$39:$B$59,1)+1)-INDEX(Bootstrap!$D$39:$D$59,MATCH((($I14-MarketData!$B$4)/360),Bootstrap!$B$39:$B$59,1)))*(((($I14-MarketData!$B$4)/360))-INDEX(Bootstrap!$B$39:$B$59,MATCH((($I14-MarketData!$B$4)/360),Bootstrap!$B$39:$B$59,1)))/(INDEX(Bootstrap!$B$39:$B$59,MATCH((($I14-MarketData!$B$4)/360),Bootstrap!$B$39:$B$59,1)+1)-INDEX(Bootstrap!$B$39:$B$59,MATCH((($I14-MarketData!$B$4)/360),Bootstrap!$B$39:$B$59,1))))</f>
        <v>0.967853303810036</v>
      </c>
      <c r="L14" s="25" t="n">
        <f aca="false">(J14/K14-1)/G14</f>
        <v>0.0391882695149316</v>
      </c>
      <c r="M14" s="22" t="n">
        <f aca="false">MarketData!$C$60</f>
        <v>0.0391877531</v>
      </c>
      <c r="N14" s="31" t="n">
        <f aca="false">(L14-M14)*10000</f>
        <v>0.00516414931636677</v>
      </c>
    </row>
    <row r="15" customFormat="false" ht="15" hidden="false" customHeight="false" outlineLevel="0" collapsed="false">
      <c r="A15" s="16" t="n">
        <f aca="false">MarketData!$A$61</f>
        <v>46497</v>
      </c>
      <c r="B15" s="21" t="n">
        <f aca="false">(A15-MarketData!$B$4)/360</f>
        <v>0.888888888888889</v>
      </c>
      <c r="C15" s="30" t="n">
        <f aca="false">EXP(INDEX(Bootstrap!$D$39:$D$59,MATCH($B15,Bootstrap!$B$39:$B$59,1))+(INDEX(Bootstrap!$D$39:$D$59,MATCH($B15,Bootstrap!$B$39:$B$59,1)+1)-INDEX(Bootstrap!$D$39:$D$59,MATCH($B15,Bootstrap!$B$39:$B$59,1)))*(($B15)-INDEX(Bootstrap!$B$39:$B$59,MATCH($B15,Bootstrap!$B$39:$B$59,1)))/(INDEX(Bootstrap!$B$39:$B$59,MATCH($B15,Bootstrap!$B$39:$B$59,1)+1)-INDEX(Bootstrap!$B$39:$B$59,MATCH($B15,Bootstrap!$B$39:$B$59,1))))</f>
        <v>0.967115973683033</v>
      </c>
      <c r="D15" s="30" t="n">
        <f aca="false">MarketData!$B$61</f>
        <v>0.9671369</v>
      </c>
      <c r="E15" s="31" t="n">
        <f aca="false">(LN(D15)-LN(C15))/B15*10000</f>
        <v>0.24342325566259</v>
      </c>
      <c r="F15" s="19" t="n">
        <f aca="false">A16</f>
        <v>46527</v>
      </c>
      <c r="G15" s="21" t="n">
        <f aca="false">(F15-A15)/360</f>
        <v>0.0833333333333333</v>
      </c>
      <c r="H15" s="19" t="n">
        <f aca="false">WORKDAY(A15,-5)</f>
        <v>46490</v>
      </c>
      <c r="I15" s="19" t="n">
        <f aca="false">WORKDAY(F15,-5)</f>
        <v>46520</v>
      </c>
      <c r="J15" s="18" t="n">
        <f aca="false">EXP(INDEX(Bootstrap!$D$39:$D$59,MATCH((($H15-MarketData!$B$4)/360),Bootstrap!$B$39:$B$59,1))+(INDEX(Bootstrap!$D$39:$D$59,MATCH((($H15-MarketData!$B$4)/360),Bootstrap!$B$39:$B$59,1)+1)-INDEX(Bootstrap!$D$39:$D$59,MATCH((($H15-MarketData!$B$4)/360),Bootstrap!$B$39:$B$59,1)))*(((($H15-MarketData!$B$4)/360))-INDEX(Bootstrap!$B$39:$B$59,MATCH((($H15-MarketData!$B$4)/360),Bootstrap!$B$39:$B$59,1)))/(INDEX(Bootstrap!$B$39:$B$59,MATCH((($H15-MarketData!$B$4)/360),Bootstrap!$B$39:$B$59,1)+1)-INDEX(Bootstrap!$B$39:$B$59,MATCH((($H15-MarketData!$B$4)/360),Bootstrap!$B$39:$B$59,1))))</f>
        <v>0.967853303810036</v>
      </c>
      <c r="K15" s="18" t="n">
        <f aca="false">EXP(INDEX(Bootstrap!$D$39:$D$59,MATCH((($I15-MarketData!$B$4)/360),Bootstrap!$B$39:$B$59,1))+(INDEX(Bootstrap!$D$39:$D$59,MATCH((($I15-MarketData!$B$4)/360),Bootstrap!$B$39:$B$59,1)+1)-INDEX(Bootstrap!$D$39:$D$59,MATCH((($I15-MarketData!$B$4)/360),Bootstrap!$B$39:$B$59,1)))*(((($I15-MarketData!$B$4)/360))-INDEX(Bootstrap!$B$39:$B$59,MATCH((($I15-MarketData!$B$4)/360),Bootstrap!$B$39:$B$59,1)))/(INDEX(Bootstrap!$B$39:$B$59,MATCH((($I15-MarketData!$B$4)/360),Bootstrap!$B$39:$B$59,1)+1)-INDEX(Bootstrap!$B$39:$B$59,MATCH((($I15-MarketData!$B$4)/360),Bootstrap!$B$39:$B$59,1))))</f>
        <v>0.964673333314041</v>
      </c>
      <c r="L15" s="25" t="n">
        <f aca="false">(J15/K15-1)/G15</f>
        <v>0.0395570652096726</v>
      </c>
      <c r="M15" s="22" t="n">
        <f aca="false">MarketData!$C$61</f>
        <v>0.0395570652</v>
      </c>
      <c r="N15" s="31" t="n">
        <f aca="false">(L15-M15)*10000</f>
        <v>9.67261687412346E-008</v>
      </c>
    </row>
    <row r="16" customFormat="false" ht="15" hidden="false" customHeight="false" outlineLevel="0" collapsed="false">
      <c r="A16" s="16" t="n">
        <f aca="false">MarketData!$A$62</f>
        <v>46527</v>
      </c>
      <c r="B16" s="21" t="n">
        <f aca="false">(A16-MarketData!$B$4)/360</f>
        <v>0.972222222222222</v>
      </c>
      <c r="C16" s="30" t="n">
        <f aca="false">EXP(INDEX(Bootstrap!$D$39:$D$59,MATCH($B16,Bootstrap!$B$39:$B$59,1))+(INDEX(Bootstrap!$D$39:$D$59,MATCH($B16,Bootstrap!$B$39:$B$59,1)+1)-INDEX(Bootstrap!$D$39:$D$59,MATCH($B16,Bootstrap!$B$39:$B$59,1)))*(($B16)-INDEX(Bootstrap!$B$39:$B$59,MATCH($B16,Bootstrap!$B$39:$B$59,1)))/(INDEX(Bootstrap!$B$39:$B$59,MATCH($B16,Bootstrap!$B$39:$B$59,1)+1)-INDEX(Bootstrap!$B$39:$B$59,MATCH($B16,Bootstrap!$B$39:$B$59,1))))</f>
        <v>0.963926466662927</v>
      </c>
      <c r="D16" s="30" t="n">
        <f aca="false">MarketData!$B$62</f>
        <v>0.963947324</v>
      </c>
      <c r="E16" s="31" t="n">
        <f aca="false">(LN(D16)-LN(C16))/B16*10000</f>
        <v>0.222558770125368</v>
      </c>
      <c r="F16" s="19" t="n">
        <f aca="false">A17</f>
        <v>46559</v>
      </c>
      <c r="G16" s="21" t="n">
        <f aca="false">(F16-A16)/360</f>
        <v>0.0888888888888889</v>
      </c>
      <c r="H16" s="19" t="n">
        <f aca="false">WORKDAY(A16,-5)</f>
        <v>46520</v>
      </c>
      <c r="I16" s="19" t="n">
        <f aca="false">WORKDAY(F16,-5)</f>
        <v>46552</v>
      </c>
      <c r="J16" s="18" t="n">
        <f aca="false">EXP(INDEX(Bootstrap!$D$39:$D$59,MATCH((($H16-MarketData!$B$4)/360),Bootstrap!$B$39:$B$59,1))+(INDEX(Bootstrap!$D$39:$D$59,MATCH((($H16-MarketData!$B$4)/360),Bootstrap!$B$39:$B$59,1)+1)-INDEX(Bootstrap!$D$39:$D$59,MATCH((($H16-MarketData!$B$4)/360),Bootstrap!$B$39:$B$59,1)))*(((($H16-MarketData!$B$4)/360))-INDEX(Bootstrap!$B$39:$B$59,MATCH((($H16-MarketData!$B$4)/360),Bootstrap!$B$39:$B$59,1)))/(INDEX(Bootstrap!$B$39:$B$59,MATCH((($H16-MarketData!$B$4)/360),Bootstrap!$B$39:$B$59,1)+1)-INDEX(Bootstrap!$B$39:$B$59,MATCH((($H16-MarketData!$B$4)/360),Bootstrap!$B$39:$B$59,1))))</f>
        <v>0.964673333314041</v>
      </c>
      <c r="K16" s="18" t="n">
        <f aca="false">EXP(INDEX(Bootstrap!$D$39:$D$59,MATCH((($I16-MarketData!$B$4)/360),Bootstrap!$B$39:$B$59,1))+(INDEX(Bootstrap!$D$39:$D$59,MATCH((($I16-MarketData!$B$4)/360),Bootstrap!$B$39:$B$59,1)+1)-INDEX(Bootstrap!$D$39:$D$59,MATCH((($I16-MarketData!$B$4)/360),Bootstrap!$B$39:$B$59,1)))*(((($I16-MarketData!$B$4)/360))-INDEX(Bootstrap!$B$39:$B$59,MATCH((($I16-MarketData!$B$4)/360),Bootstrap!$B$39:$B$59,1)))/(INDEX(Bootstrap!$B$39:$B$59,MATCH((($I16-MarketData!$B$4)/360),Bootstrap!$B$39:$B$59,1)+1)-INDEX(Bootstrap!$B$39:$B$59,MATCH((($I16-MarketData!$B$4)/360),Bootstrap!$B$39:$B$59,1))))</f>
        <v>0.961262954691634</v>
      </c>
      <c r="L16" s="25" t="n">
        <f aca="false">(J16/K16-1)/G16</f>
        <v>0.0399128660007439</v>
      </c>
      <c r="M16" s="22" t="n">
        <f aca="false">MarketData!$C$62</f>
        <v>0.0399070752</v>
      </c>
      <c r="N16" s="31" t="n">
        <f aca="false">(L16-M16)*10000</f>
        <v>0.0579080074389338</v>
      </c>
    </row>
    <row r="17" customFormat="false" ht="15" hidden="false" customHeight="false" outlineLevel="0" collapsed="false">
      <c r="A17" s="16" t="n">
        <f aca="false">MarketData!$A$63</f>
        <v>46559</v>
      </c>
      <c r="B17" s="21" t="n">
        <f aca="false">(A17-MarketData!$B$4)/360</f>
        <v>1.06111111111111</v>
      </c>
      <c r="C17" s="30" t="n">
        <f aca="false">EXP(INDEX(Bootstrap!$D$39:$D$59,MATCH($B17,Bootstrap!$B$39:$B$59,1))+(INDEX(Bootstrap!$D$39:$D$59,MATCH($B17,Bootstrap!$B$39:$B$59,1)+1)-INDEX(Bootstrap!$D$39:$D$59,MATCH($B17,Bootstrap!$B$39:$B$59,1)))*(($B17)-INDEX(Bootstrap!$B$39:$B$59,MATCH($B17,Bootstrap!$B$39:$B$59,1)))/(INDEX(Bootstrap!$B$39:$B$59,MATCH($B17,Bootstrap!$B$39:$B$59,1)+1)-INDEX(Bootstrap!$B$39:$B$59,MATCH($B17,Bootstrap!$B$39:$B$59,1))))</f>
        <v>0.960519116969005</v>
      </c>
      <c r="D17" s="30" t="n">
        <f aca="false">MarketData!$B$63</f>
        <v>0.96053938</v>
      </c>
      <c r="E17" s="31" t="n">
        <f aca="false">(LN(D17)-LN(C17))/B17*10000</f>
        <v>0.198807586368477</v>
      </c>
      <c r="F17" s="19" t="n">
        <f aca="false">A18</f>
        <v>46588</v>
      </c>
      <c r="G17" s="21" t="n">
        <f aca="false">(F17-A17)/360</f>
        <v>0.0805555555555556</v>
      </c>
      <c r="H17" s="19" t="n">
        <f aca="false">WORKDAY(A17,-5)</f>
        <v>46552</v>
      </c>
      <c r="I17" s="19" t="n">
        <f aca="false">WORKDAY(F17,-5)</f>
        <v>46581</v>
      </c>
      <c r="J17" s="18" t="n">
        <f aca="false">EXP(INDEX(Bootstrap!$D$39:$D$59,MATCH((($H17-MarketData!$B$4)/360),Bootstrap!$B$39:$B$59,1))+(INDEX(Bootstrap!$D$39:$D$59,MATCH((($H17-MarketData!$B$4)/360),Bootstrap!$B$39:$B$59,1)+1)-INDEX(Bootstrap!$D$39:$D$59,MATCH((($H17-MarketData!$B$4)/360),Bootstrap!$B$39:$B$59,1)))*(((($H17-MarketData!$B$4)/360))-INDEX(Bootstrap!$B$39:$B$59,MATCH((($H17-MarketData!$B$4)/360),Bootstrap!$B$39:$B$59,1)))/(INDEX(Bootstrap!$B$39:$B$59,MATCH((($H17-MarketData!$B$4)/360),Bootstrap!$B$39:$B$59,1)+1)-INDEX(Bootstrap!$B$39:$B$59,MATCH((($H17-MarketData!$B$4)/360),Bootstrap!$B$39:$B$59,1))))</f>
        <v>0.961262954691634</v>
      </c>
      <c r="K17" s="18" t="n">
        <f aca="false">EXP(INDEX(Bootstrap!$D$39:$D$59,MATCH((($I17-MarketData!$B$4)/360),Bootstrap!$B$39:$B$59,1))+(INDEX(Bootstrap!$D$39:$D$59,MATCH((($I17-MarketData!$B$4)/360),Bootstrap!$B$39:$B$59,1)+1)-INDEX(Bootstrap!$D$39:$D$59,MATCH((($I17-MarketData!$B$4)/360),Bootstrap!$B$39:$B$59,1)))*(((($I17-MarketData!$B$4)/360))-INDEX(Bootstrap!$B$39:$B$59,MATCH((($I17-MarketData!$B$4)/360),Bootstrap!$B$39:$B$59,1)))/(INDEX(Bootstrap!$B$39:$B$59,MATCH((($I17-MarketData!$B$4)/360),Bootstrap!$B$39:$B$59,1)+1)-INDEX(Bootstrap!$B$39:$B$59,MATCH((($I17-MarketData!$B$4)/360),Bootstrap!$B$39:$B$59,1))))</f>
        <v>0.958187433862717</v>
      </c>
      <c r="L17" s="25" t="n">
        <f aca="false">(J17/K17-1)/G17</f>
        <v>0.0398448966311427</v>
      </c>
      <c r="M17" s="22" t="n">
        <f aca="false">MarketData!$C$63</f>
        <v>0.0399039102</v>
      </c>
      <c r="N17" s="31" t="n">
        <f aca="false">(L17-M17)*10000</f>
        <v>-0.590135688572704</v>
      </c>
    </row>
    <row r="18" customFormat="false" ht="15" hidden="false" customHeight="false" outlineLevel="0" collapsed="false">
      <c r="A18" s="16" t="n">
        <f aca="false">MarketData!$A$64</f>
        <v>46588</v>
      </c>
      <c r="B18" s="21" t="n">
        <f aca="false">(A18-MarketData!$B$4)/360</f>
        <v>1.14166666666667</v>
      </c>
      <c r="C18" s="30" t="n">
        <f aca="false">EXP(INDEX(Bootstrap!$D$39:$D$59,MATCH($B18,Bootstrap!$B$39:$B$59,1))+(INDEX(Bootstrap!$D$39:$D$59,MATCH($B18,Bootstrap!$B$39:$B$59,1)+1)-INDEX(Bootstrap!$D$39:$D$59,MATCH($B18,Bootstrap!$B$39:$B$59,1)))*(($B18)-INDEX(Bootstrap!$B$39:$B$59,MATCH($B18,Bootstrap!$B$39:$B$59,1)))/(INDEX(Bootstrap!$B$39:$B$59,MATCH($B18,Bootstrap!$B$39:$B$59,1)+1)-INDEX(Bootstrap!$B$39:$B$59,MATCH($B18,Bootstrap!$B$39:$B$59,1))))</f>
        <v>0.95744672235629</v>
      </c>
      <c r="D18" s="30" t="n">
        <f aca="false">MarketData!$B$64</f>
        <v>0.95746285</v>
      </c>
      <c r="E18" s="31" t="n">
        <f aca="false">(LN(D18)-LN(C18))/B18*10000</f>
        <v>0.147541204600414</v>
      </c>
      <c r="F18" s="19" t="n">
        <f aca="false">A19</f>
        <v>46619</v>
      </c>
      <c r="G18" s="21" t="n">
        <f aca="false">(F18-A18)/360</f>
        <v>0.0861111111111111</v>
      </c>
      <c r="H18" s="19" t="n">
        <f aca="false">WORKDAY(A18,-5)</f>
        <v>46581</v>
      </c>
      <c r="I18" s="19" t="n">
        <f aca="false">WORKDAY(F18,-5)</f>
        <v>46612</v>
      </c>
      <c r="J18" s="18" t="n">
        <f aca="false">EXP(INDEX(Bootstrap!$D$39:$D$59,MATCH((($H18-MarketData!$B$4)/360),Bootstrap!$B$39:$B$59,1))+(INDEX(Bootstrap!$D$39:$D$59,MATCH((($H18-MarketData!$B$4)/360),Bootstrap!$B$39:$B$59,1)+1)-INDEX(Bootstrap!$D$39:$D$59,MATCH((($H18-MarketData!$B$4)/360),Bootstrap!$B$39:$B$59,1)))*(((($H18-MarketData!$B$4)/360))-INDEX(Bootstrap!$B$39:$B$59,MATCH((($H18-MarketData!$B$4)/360),Bootstrap!$B$39:$B$59,1)))/(INDEX(Bootstrap!$B$39:$B$59,MATCH((($H18-MarketData!$B$4)/360),Bootstrap!$B$39:$B$59,1)+1)-INDEX(Bootstrap!$B$39:$B$59,MATCH((($H18-MarketData!$B$4)/360),Bootstrap!$B$39:$B$59,1))))</f>
        <v>0.958187433862717</v>
      </c>
      <c r="K18" s="18" t="n">
        <f aca="false">EXP(INDEX(Bootstrap!$D$39:$D$59,MATCH((($I18-MarketData!$B$4)/360),Bootstrap!$B$39:$B$59,1))+(INDEX(Bootstrap!$D$39:$D$59,MATCH((($I18-MarketData!$B$4)/360),Bootstrap!$B$39:$B$59,1)+1)-INDEX(Bootstrap!$D$39:$D$59,MATCH((($I18-MarketData!$B$4)/360),Bootstrap!$B$39:$B$59,1)))*(((($I18-MarketData!$B$4)/360))-INDEX(Bootstrap!$B$39:$B$59,MATCH((($I18-MarketData!$B$4)/360),Bootstrap!$B$39:$B$59,1)))/(INDEX(Bootstrap!$B$39:$B$59,MATCH((($I18-MarketData!$B$4)/360),Bootstrap!$B$39:$B$59,1)+1)-INDEX(Bootstrap!$B$39:$B$59,MATCH((($I18-MarketData!$B$4)/360),Bootstrap!$B$39:$B$59,1))))</f>
        <v>0.954911484378309</v>
      </c>
      <c r="L18" s="25" t="n">
        <f aca="false">(J18/K18-1)/G18</f>
        <v>0.0398395924202587</v>
      </c>
      <c r="M18" s="22" t="n">
        <f aca="false">MarketData!$C$64</f>
        <v>0.0398446799</v>
      </c>
      <c r="N18" s="31" t="n">
        <f aca="false">(L18-M18)*10000</f>
        <v>-0.0508747974126145</v>
      </c>
    </row>
    <row r="19" customFormat="false" ht="15" hidden="false" customHeight="false" outlineLevel="0" collapsed="false">
      <c r="A19" s="16" t="n">
        <f aca="false">MarketData!$A$65</f>
        <v>46619</v>
      </c>
      <c r="B19" s="21" t="n">
        <f aca="false">(A19-MarketData!$B$4)/360</f>
        <v>1.22777777777778</v>
      </c>
      <c r="C19" s="30" t="n">
        <f aca="false">EXP(INDEX(Bootstrap!$D$39:$D$59,MATCH($B19,Bootstrap!$B$39:$B$59,1))+(INDEX(Bootstrap!$D$39:$D$59,MATCH($B19,Bootstrap!$B$39:$B$59,1)+1)-INDEX(Bootstrap!$D$39:$D$59,MATCH($B19,Bootstrap!$B$39:$B$59,1)))*(($B19)-INDEX(Bootstrap!$B$39:$B$59,MATCH($B19,Bootstrap!$B$39:$B$59,1)))/(INDEX(Bootstrap!$B$39:$B$59,MATCH($B19,Bootstrap!$B$39:$B$59,1)+1)-INDEX(Bootstrap!$B$39:$B$59,MATCH($B19,Bootstrap!$B$39:$B$59,1))))</f>
        <v>0.954173305292358</v>
      </c>
      <c r="D19" s="30" t="n">
        <f aca="false">MarketData!$B$65</f>
        <v>0.954190155</v>
      </c>
      <c r="E19" s="31" t="n">
        <f aca="false">(LN(D19)-LN(C19))/B19*10000</f>
        <v>0.143827358536989</v>
      </c>
      <c r="F19" s="19" t="n">
        <f aca="false">A20</f>
        <v>46650</v>
      </c>
      <c r="G19" s="21" t="n">
        <f aca="false">(F19-A19)/360</f>
        <v>0.0861111111111111</v>
      </c>
      <c r="H19" s="19" t="n">
        <f aca="false">WORKDAY(A19,-5)</f>
        <v>46612</v>
      </c>
      <c r="I19" s="19" t="n">
        <f aca="false">WORKDAY(F19,-5)</f>
        <v>46643</v>
      </c>
      <c r="J19" s="18" t="n">
        <f aca="false">EXP(INDEX(Bootstrap!$D$39:$D$59,MATCH((($H19-MarketData!$B$4)/360),Bootstrap!$B$39:$B$59,1))+(INDEX(Bootstrap!$D$39:$D$59,MATCH((($H19-MarketData!$B$4)/360),Bootstrap!$B$39:$B$59,1)+1)-INDEX(Bootstrap!$D$39:$D$59,MATCH((($H19-MarketData!$B$4)/360),Bootstrap!$B$39:$B$59,1)))*(((($H19-MarketData!$B$4)/360))-INDEX(Bootstrap!$B$39:$B$59,MATCH((($H19-MarketData!$B$4)/360),Bootstrap!$B$39:$B$59,1)))/(INDEX(Bootstrap!$B$39:$B$59,MATCH((($H19-MarketData!$B$4)/360),Bootstrap!$B$39:$B$59,1)+1)-INDEX(Bootstrap!$B$39:$B$59,MATCH((($H19-MarketData!$B$4)/360),Bootstrap!$B$39:$B$59,1))))</f>
        <v>0.954911484378309</v>
      </c>
      <c r="K19" s="18" t="n">
        <f aca="false">EXP(INDEX(Bootstrap!$D$39:$D$59,MATCH((($I19-MarketData!$B$4)/360),Bootstrap!$B$39:$B$59,1))+(INDEX(Bootstrap!$D$39:$D$59,MATCH((($I19-MarketData!$B$4)/360),Bootstrap!$B$39:$B$59,1)+1)-INDEX(Bootstrap!$D$39:$D$59,MATCH((($I19-MarketData!$B$4)/360),Bootstrap!$B$39:$B$59,1)))*(((($I19-MarketData!$B$4)/360))-INDEX(Bootstrap!$B$39:$B$59,MATCH((($I19-MarketData!$B$4)/360),Bootstrap!$B$39:$B$59,1)))/(INDEX(Bootstrap!$B$39:$B$59,MATCH((($I19-MarketData!$B$4)/360),Bootstrap!$B$39:$B$59,1)+1)-INDEX(Bootstrap!$B$39:$B$59,MATCH((($I19-MarketData!$B$4)/360),Bootstrap!$B$39:$B$59,1))))</f>
        <v>0.951646735046027</v>
      </c>
      <c r="L19" s="25" t="n">
        <f aca="false">(J19/K19-1)/G19</f>
        <v>0.0398395924202587</v>
      </c>
      <c r="M19" s="22" t="n">
        <f aca="false">MarketData!$C$65</f>
        <v>0.0397805046</v>
      </c>
      <c r="N19" s="31" t="n">
        <f aca="false">(L19-M19)*10000</f>
        <v>0.590878202587353</v>
      </c>
    </row>
    <row r="20" customFormat="false" ht="15" hidden="false" customHeight="false" outlineLevel="0" collapsed="false">
      <c r="A20" s="16" t="n">
        <f aca="false">MarketData!$A$66</f>
        <v>46650</v>
      </c>
      <c r="B20" s="21" t="n">
        <f aca="false">(A20-MarketData!$B$4)/360</f>
        <v>1.31388888888889</v>
      </c>
      <c r="C20" s="30" t="n">
        <f aca="false">EXP(INDEX(Bootstrap!$D$39:$D$59,MATCH($B20,Bootstrap!$B$39:$B$59,1))+(INDEX(Bootstrap!$D$39:$D$59,MATCH($B20,Bootstrap!$B$39:$B$59,1)+1)-INDEX(Bootstrap!$D$39:$D$59,MATCH($B20,Bootstrap!$B$39:$B$59,1)))*(($B20)-INDEX(Bootstrap!$B$39:$B$59,MATCH($B20,Bootstrap!$B$39:$B$59,1)))/(INDEX(Bootstrap!$B$39:$B$59,MATCH($B20,Bootstrap!$B$39:$B$59,1)+1)-INDEX(Bootstrap!$B$39:$B$59,MATCH($B20,Bootstrap!$B$39:$B$59,1))))</f>
        <v>0.950911877303157</v>
      </c>
      <c r="D20" s="30" t="n">
        <f aca="false">MarketData!$B$66</f>
        <v>0.95093372</v>
      </c>
      <c r="E20" s="31" t="n">
        <f aca="false">(LN(D20)-LN(C20))/B20*10000</f>
        <v>0.174824525586011</v>
      </c>
      <c r="F20" s="19" t="n">
        <f aca="false">A21</f>
        <v>46680</v>
      </c>
      <c r="G20" s="21" t="n">
        <f aca="false">(F20-A20)/360</f>
        <v>0.0833333333333333</v>
      </c>
      <c r="H20" s="19" t="n">
        <f aca="false">WORKDAY(A20,-5)</f>
        <v>46643</v>
      </c>
      <c r="I20" s="19" t="n">
        <f aca="false">WORKDAY(F20,-5)</f>
        <v>46673</v>
      </c>
      <c r="J20" s="18" t="n">
        <f aca="false">EXP(INDEX(Bootstrap!$D$39:$D$59,MATCH((($H20-MarketData!$B$4)/360),Bootstrap!$B$39:$B$59,1))+(INDEX(Bootstrap!$D$39:$D$59,MATCH((($H20-MarketData!$B$4)/360),Bootstrap!$B$39:$B$59,1)+1)-INDEX(Bootstrap!$D$39:$D$59,MATCH((($H20-MarketData!$B$4)/360),Bootstrap!$B$39:$B$59,1)))*(((($H20-MarketData!$B$4)/360))-INDEX(Bootstrap!$B$39:$B$59,MATCH((($H20-MarketData!$B$4)/360),Bootstrap!$B$39:$B$59,1)))/(INDEX(Bootstrap!$B$39:$B$59,MATCH((($H20-MarketData!$B$4)/360),Bootstrap!$B$39:$B$59,1)+1)-INDEX(Bootstrap!$B$39:$B$59,MATCH((($H20-MarketData!$B$4)/360),Bootstrap!$B$39:$B$59,1))))</f>
        <v>0.951646735046027</v>
      </c>
      <c r="K20" s="18" t="n">
        <f aca="false">EXP(INDEX(Bootstrap!$D$39:$D$59,MATCH((($I20-MarketData!$B$4)/360),Bootstrap!$B$39:$B$59,1))+(INDEX(Bootstrap!$D$39:$D$59,MATCH((($I20-MarketData!$B$4)/360),Bootstrap!$B$39:$B$59,1)+1)-INDEX(Bootstrap!$D$39:$D$59,MATCH((($I20-MarketData!$B$4)/360),Bootstrap!$B$39:$B$59,1)))*(((($I20-MarketData!$B$4)/360))-INDEX(Bootstrap!$B$39:$B$59,MATCH((($I20-MarketData!$B$4)/360),Bootstrap!$B$39:$B$59,1)))/(INDEX(Bootstrap!$B$39:$B$59,MATCH((($I20-MarketData!$B$4)/360),Bootstrap!$B$39:$B$59,1)+1)-INDEX(Bootstrap!$B$39:$B$59,MATCH((($I20-MarketData!$B$4)/360),Bootstrap!$B$39:$B$59,1))))</f>
        <v>0.948502383302599</v>
      </c>
      <c r="L20" s="25" t="n">
        <f aca="false">(J20/K20-1)/G20</f>
        <v>0.0397808393372339</v>
      </c>
      <c r="M20" s="22" t="n">
        <f aca="false">MarketData!$C$66</f>
        <v>0.0397067124</v>
      </c>
      <c r="N20" s="31" t="n">
        <f aca="false">(L20-M20)*10000</f>
        <v>0.741269372338677</v>
      </c>
    </row>
    <row r="21" customFormat="false" ht="15" hidden="false" customHeight="false" outlineLevel="0" collapsed="false">
      <c r="A21" s="16" t="n">
        <f aca="false">MarketData!$A$67</f>
        <v>46680</v>
      </c>
      <c r="B21" s="21" t="n">
        <f aca="false">(A21-MarketData!$B$4)/360</f>
        <v>1.39722222222222</v>
      </c>
      <c r="C21" s="30" t="n">
        <f aca="false">EXP(INDEX(Bootstrap!$D$39:$D$59,MATCH($B21,Bootstrap!$B$39:$B$59,1))+(INDEX(Bootstrap!$D$39:$D$59,MATCH($B21,Bootstrap!$B$39:$B$59,1)+1)-INDEX(Bootstrap!$D$39:$D$59,MATCH($B21,Bootstrap!$B$39:$B$59,1)))*(($B21)-INDEX(Bootstrap!$B$39:$B$59,MATCH($B21,Bootstrap!$B$39:$B$59,1)))/(INDEX(Bootstrap!$B$39:$B$59,MATCH($B21,Bootstrap!$B$39:$B$59,1)+1)-INDEX(Bootstrap!$B$39:$B$59,MATCH($B21,Bootstrap!$B$39:$B$59,1))))</f>
        <v>0.947770271593719</v>
      </c>
      <c r="D21" s="30" t="n">
        <f aca="false">MarketData!$B$67</f>
        <v>0.947799959</v>
      </c>
      <c r="E21" s="31" t="n">
        <f aca="false">(LN(D21)-LN(C21))/B21*10000</f>
        <v>0.22418001184113</v>
      </c>
      <c r="F21" s="19" t="n">
        <f aca="false">A22</f>
        <v>46713</v>
      </c>
      <c r="G21" s="21" t="n">
        <f aca="false">(F21-A21)/360</f>
        <v>0.0916666666666667</v>
      </c>
      <c r="H21" s="19" t="n">
        <f aca="false">WORKDAY(A21,-5)</f>
        <v>46673</v>
      </c>
      <c r="I21" s="19" t="n">
        <f aca="false">WORKDAY(F21,-5)</f>
        <v>46706</v>
      </c>
      <c r="J21" s="18" t="n">
        <f aca="false">EXP(INDEX(Bootstrap!$D$39:$D$59,MATCH((($H21-MarketData!$B$4)/360),Bootstrap!$B$39:$B$59,1))+(INDEX(Bootstrap!$D$39:$D$59,MATCH((($H21-MarketData!$B$4)/360),Bootstrap!$B$39:$B$59,1)+1)-INDEX(Bootstrap!$D$39:$D$59,MATCH((($H21-MarketData!$B$4)/360),Bootstrap!$B$39:$B$59,1)))*(((($H21-MarketData!$B$4)/360))-INDEX(Bootstrap!$B$39:$B$59,MATCH((($H21-MarketData!$B$4)/360),Bootstrap!$B$39:$B$59,1)))/(INDEX(Bootstrap!$B$39:$B$59,MATCH((($H21-MarketData!$B$4)/360),Bootstrap!$B$39:$B$59,1)+1)-INDEX(Bootstrap!$B$39:$B$59,MATCH((($H21-MarketData!$B$4)/360),Bootstrap!$B$39:$B$59,1))))</f>
        <v>0.948502383302599</v>
      </c>
      <c r="K21" s="18" t="n">
        <f aca="false">EXP(INDEX(Bootstrap!$D$39:$D$59,MATCH((($I21-MarketData!$B$4)/360),Bootstrap!$B$39:$B$59,1))+(INDEX(Bootstrap!$D$39:$D$59,MATCH((($I21-MarketData!$B$4)/360),Bootstrap!$B$39:$B$59,1)+1)-INDEX(Bootstrap!$D$39:$D$59,MATCH((($I21-MarketData!$B$4)/360),Bootstrap!$B$39:$B$59,1)))*(((($I21-MarketData!$B$4)/360))-INDEX(Bootstrap!$B$39:$B$59,MATCH((($I21-MarketData!$B$4)/360),Bootstrap!$B$39:$B$59,1)))/(INDEX(Bootstrap!$B$39:$B$59,MATCH((($I21-MarketData!$B$4)/360),Bootstrap!$B$39:$B$59,1)+1)-INDEX(Bootstrap!$B$39:$B$59,MATCH((($I21-MarketData!$B$4)/360),Bootstrap!$B$39:$B$59,1))))</f>
        <v>0.945055943483601</v>
      </c>
      <c r="L21" s="25" t="n">
        <f aca="false">(J21/K21-1)/G21</f>
        <v>0.0397833859015458</v>
      </c>
      <c r="M21" s="22" t="n">
        <f aca="false">MarketData!$C$67</f>
        <v>0.0395728304</v>
      </c>
      <c r="N21" s="31" t="n">
        <f aca="false">(L21-M21)*10000</f>
        <v>2.10555501545771</v>
      </c>
    </row>
    <row r="22" customFormat="false" ht="15" hidden="false" customHeight="false" outlineLevel="0" collapsed="false">
      <c r="A22" s="16" t="n">
        <f aca="false">MarketData!$A$68</f>
        <v>46713</v>
      </c>
      <c r="B22" s="21" t="n">
        <f aca="false">(A22-MarketData!$B$4)/360</f>
        <v>1.48888888888889</v>
      </c>
      <c r="C22" s="30" t="n">
        <f aca="false">EXP(INDEX(Bootstrap!$D$39:$D$59,MATCH($B22,Bootstrap!$B$39:$B$59,1))+(INDEX(Bootstrap!$D$39:$D$59,MATCH($B22,Bootstrap!$B$39:$B$59,1)+1)-INDEX(Bootstrap!$D$39:$D$59,MATCH($B22,Bootstrap!$B$39:$B$59,1)))*(($B22)-INDEX(Bootstrap!$B$39:$B$59,MATCH($B22,Bootstrap!$B$39:$B$59,1)))/(INDEX(Bootstrap!$B$39:$B$59,MATCH($B22,Bootstrap!$B$39:$B$59,1)+1)-INDEX(Bootstrap!$B$39:$B$59,MATCH($B22,Bootstrap!$B$39:$B$59,1))))</f>
        <v>0.944326491946156</v>
      </c>
      <c r="D22" s="30" t="n">
        <f aca="false">MarketData!$B$68</f>
        <v>0.944377081</v>
      </c>
      <c r="E22" s="31" t="n">
        <f aca="false">(LN(D22)-LN(C22))/B22*10000</f>
        <v>0.359799422483376</v>
      </c>
      <c r="F22" s="19" t="n">
        <f aca="false">A23</f>
        <v>46741</v>
      </c>
      <c r="G22" s="21" t="n">
        <f aca="false">(F22-A22)/360</f>
        <v>0.0777777777777778</v>
      </c>
      <c r="H22" s="19" t="n">
        <f aca="false">WORKDAY(A22,-5)</f>
        <v>46706</v>
      </c>
      <c r="I22" s="19" t="n">
        <f aca="false">WORKDAY(F22,-5)</f>
        <v>46734</v>
      </c>
      <c r="J22" s="18" t="n">
        <f aca="false">EXP(INDEX(Bootstrap!$D$39:$D$59,MATCH((($H22-MarketData!$B$4)/360),Bootstrap!$B$39:$B$59,1))+(INDEX(Bootstrap!$D$39:$D$59,MATCH((($H22-MarketData!$B$4)/360),Bootstrap!$B$39:$B$59,1)+1)-INDEX(Bootstrap!$D$39:$D$59,MATCH((($H22-MarketData!$B$4)/360),Bootstrap!$B$39:$B$59,1)))*(((($H22-MarketData!$B$4)/360))-INDEX(Bootstrap!$B$39:$B$59,MATCH((($H22-MarketData!$B$4)/360),Bootstrap!$B$39:$B$59,1)))/(INDEX(Bootstrap!$B$39:$B$59,MATCH((($H22-MarketData!$B$4)/360),Bootstrap!$B$39:$B$59,1)+1)-INDEX(Bootstrap!$B$39:$B$59,MATCH((($H22-MarketData!$B$4)/360),Bootstrap!$B$39:$B$59,1))))</f>
        <v>0.945055943483601</v>
      </c>
      <c r="K22" s="18" t="n">
        <f aca="false">EXP(INDEX(Bootstrap!$D$39:$D$59,MATCH((($I22-MarketData!$B$4)/360),Bootstrap!$B$39:$B$59,1))+(INDEX(Bootstrap!$D$39:$D$59,MATCH((($I22-MarketData!$B$4)/360),Bootstrap!$B$39:$B$59,1)+1)-INDEX(Bootstrap!$D$39:$D$59,MATCH((($I22-MarketData!$B$4)/360),Bootstrap!$B$39:$B$59,1)))*(((($I22-MarketData!$B$4)/360))-INDEX(Bootstrap!$B$39:$B$59,MATCH((($I22-MarketData!$B$4)/360),Bootstrap!$B$39:$B$59,1)))/(INDEX(Bootstrap!$B$39:$B$59,MATCH((($I22-MarketData!$B$4)/360),Bootstrap!$B$39:$B$59,1)+1)-INDEX(Bootstrap!$B$39:$B$59,MATCH((($I22-MarketData!$B$4)/360),Bootstrap!$B$39:$B$59,1))))</f>
        <v>0.942141513805642</v>
      </c>
      <c r="L22" s="25" t="n">
        <f aca="false">(J22/K22-1)/G22</f>
        <v>0.0397724101608248</v>
      </c>
      <c r="M22" s="22" t="n">
        <f aca="false">MarketData!$C$68</f>
        <v>0.0394238278</v>
      </c>
      <c r="N22" s="31" t="n">
        <f aca="false">(L22-M22)*10000</f>
        <v>3.48582360824808</v>
      </c>
    </row>
    <row r="23" customFormat="false" ht="15" hidden="false" customHeight="false" outlineLevel="0" collapsed="false">
      <c r="A23" s="16" t="n">
        <f aca="false">MarketData!$A$69</f>
        <v>46741</v>
      </c>
      <c r="B23" s="21" t="n">
        <f aca="false">(A23-MarketData!$B$4)/360</f>
        <v>1.56666666666667</v>
      </c>
      <c r="C23" s="30" t="n">
        <f aca="false">EXP(INDEX(Bootstrap!$D$39:$D$59,MATCH($B23,Bootstrap!$B$39:$B$59,1))+(INDEX(Bootstrap!$D$39:$D$59,MATCH($B23,Bootstrap!$B$39:$B$59,1)+1)-INDEX(Bootstrap!$D$39:$D$59,MATCH($B23,Bootstrap!$B$39:$B$59,1)))*(($B23)-INDEX(Bootstrap!$B$39:$B$59,MATCH($B23,Bootstrap!$B$39:$B$59,1)))/(INDEX(Bootstrap!$B$39:$B$59,MATCH($B23,Bootstrap!$B$39:$B$59,1)+1)-INDEX(Bootstrap!$B$39:$B$59,MATCH($B23,Bootstrap!$B$39:$B$59,1))))</f>
        <v>0.941417444496553</v>
      </c>
      <c r="D23" s="30" t="n">
        <f aca="false">MarketData!$B$69</f>
        <v>0.941493987</v>
      </c>
      <c r="E23" s="31" t="n">
        <f aca="false">(LN(D23)-LN(C23))/B23*10000</f>
        <v>0.518950772762207</v>
      </c>
      <c r="F23" s="19" t="n">
        <f aca="false">A24</f>
        <v>46772</v>
      </c>
      <c r="G23" s="21" t="n">
        <f aca="false">(F23-A23)/360</f>
        <v>0.0861111111111111</v>
      </c>
      <c r="H23" s="19" t="n">
        <f aca="false">WORKDAY(A23,-5)</f>
        <v>46734</v>
      </c>
      <c r="I23" s="19" t="n">
        <f aca="false">WORKDAY(F23,-5)</f>
        <v>46765</v>
      </c>
      <c r="J23" s="18" t="n">
        <f aca="false">EXP(INDEX(Bootstrap!$D$39:$D$59,MATCH((($H23-MarketData!$B$4)/360),Bootstrap!$B$39:$B$59,1))+(INDEX(Bootstrap!$D$39:$D$59,MATCH((($H23-MarketData!$B$4)/360),Bootstrap!$B$39:$B$59,1)+1)-INDEX(Bootstrap!$D$39:$D$59,MATCH((($H23-MarketData!$B$4)/360),Bootstrap!$B$39:$B$59,1)))*(((($H23-MarketData!$B$4)/360))-INDEX(Bootstrap!$B$39:$B$59,MATCH((($H23-MarketData!$B$4)/360),Bootstrap!$B$39:$B$59,1)))/(INDEX(Bootstrap!$B$39:$B$59,MATCH((($H23-MarketData!$B$4)/360),Bootstrap!$B$39:$B$59,1)+1)-INDEX(Bootstrap!$B$39:$B$59,MATCH((($H23-MarketData!$B$4)/360),Bootstrap!$B$39:$B$59,1))))</f>
        <v>0.942141513805642</v>
      </c>
      <c r="K23" s="18" t="n">
        <f aca="false">EXP(INDEX(Bootstrap!$D$39:$D$59,MATCH((($I23-MarketData!$B$4)/360),Bootstrap!$B$39:$B$59,1))+(INDEX(Bootstrap!$D$39:$D$59,MATCH((($I23-MarketData!$B$4)/360),Bootstrap!$B$39:$B$59,1)+1)-INDEX(Bootstrap!$D$39:$D$59,MATCH((($I23-MarketData!$B$4)/360),Bootstrap!$B$39:$B$59,1)))*(((($I23-MarketData!$B$4)/360))-INDEX(Bootstrap!$B$39:$B$59,MATCH((($I23-MarketData!$B$4)/360),Bootstrap!$B$39:$B$59,1)))/(INDEX(Bootstrap!$B$39:$B$59,MATCH((($I23-MarketData!$B$4)/360),Bootstrap!$B$39:$B$59,1)+1)-INDEX(Bootstrap!$B$39:$B$59,MATCH((($I23-MarketData!$B$4)/360),Bootstrap!$B$39:$B$59,1))))</f>
        <v>0.93894342814986</v>
      </c>
      <c r="L23" s="25" t="n">
        <f aca="false">(J23/K23-1)/G23</f>
        <v>0.0395540967804716</v>
      </c>
      <c r="M23" s="22" t="n">
        <f aca="false">MarketData!$C$69</f>
        <v>0.0391872249</v>
      </c>
      <c r="N23" s="31" t="n">
        <f aca="false">(L23-M23)*10000</f>
        <v>3.66871880471589</v>
      </c>
    </row>
    <row r="24" customFormat="false" ht="15" hidden="false" customHeight="false" outlineLevel="0" collapsed="false">
      <c r="A24" s="16" t="n">
        <f aca="false">MarketData!$A$70</f>
        <v>46772</v>
      </c>
      <c r="B24" s="21" t="n">
        <f aca="false">(A24-MarketData!$B$4)/360</f>
        <v>1.65277777777778</v>
      </c>
      <c r="C24" s="30" t="n">
        <f aca="false">EXP(INDEX(Bootstrap!$D$39:$D$59,MATCH($B24,Bootstrap!$B$39:$B$59,1))+(INDEX(Bootstrap!$D$39:$D$59,MATCH($B24,Bootstrap!$B$39:$B$59,1)+1)-INDEX(Bootstrap!$D$39:$D$59,MATCH($B24,Bootstrap!$B$39:$B$59,1)))*(($B24)-INDEX(Bootstrap!$B$39:$B$59,MATCH($B24,Bootstrap!$B$39:$B$59,1)))/(INDEX(Bootstrap!$B$39:$B$59,MATCH($B24,Bootstrap!$B$39:$B$59,1)+1)-INDEX(Bootstrap!$B$39:$B$59,MATCH($B24,Bootstrap!$B$39:$B$59,1))))</f>
        <v>0.938223065510713</v>
      </c>
      <c r="D24" s="30" t="n">
        <f aca="false">MarketData!$B$70</f>
        <v>0.938331489</v>
      </c>
      <c r="E24" s="31" t="n">
        <f aca="false">(LN(D24)-LN(C24))/B24*10000</f>
        <v>0.699161839370495</v>
      </c>
      <c r="F24" s="19" t="n">
        <f aca="false">A25</f>
        <v>46805</v>
      </c>
      <c r="G24" s="21" t="n">
        <f aca="false">(F24-A24)/360</f>
        <v>0.0916666666666667</v>
      </c>
      <c r="H24" s="19" t="n">
        <f aca="false">WORKDAY(A24,-5)</f>
        <v>46765</v>
      </c>
      <c r="I24" s="19" t="n">
        <f aca="false">WORKDAY(F24,-5)</f>
        <v>46798</v>
      </c>
      <c r="J24" s="18" t="n">
        <f aca="false">EXP(INDEX(Bootstrap!$D$39:$D$59,MATCH((($H24-MarketData!$B$4)/360),Bootstrap!$B$39:$B$59,1))+(INDEX(Bootstrap!$D$39:$D$59,MATCH((($H24-MarketData!$B$4)/360),Bootstrap!$B$39:$B$59,1)+1)-INDEX(Bootstrap!$D$39:$D$59,MATCH((($H24-MarketData!$B$4)/360),Bootstrap!$B$39:$B$59,1)))*(((($H24-MarketData!$B$4)/360))-INDEX(Bootstrap!$B$39:$B$59,MATCH((($H24-MarketData!$B$4)/360),Bootstrap!$B$39:$B$59,1)))/(INDEX(Bootstrap!$B$39:$B$59,MATCH((($H24-MarketData!$B$4)/360),Bootstrap!$B$39:$B$59,1)+1)-INDEX(Bootstrap!$B$39:$B$59,MATCH((($H24-MarketData!$B$4)/360),Bootstrap!$B$39:$B$59,1))))</f>
        <v>0.93894342814986</v>
      </c>
      <c r="K24" s="18" t="n">
        <f aca="false">EXP(INDEX(Bootstrap!$D$39:$D$59,MATCH((($I24-MarketData!$B$4)/360),Bootstrap!$B$39:$B$59,1))+(INDEX(Bootstrap!$D$39:$D$59,MATCH((($I24-MarketData!$B$4)/360),Bootstrap!$B$39:$B$59,1)+1)-INDEX(Bootstrap!$D$39:$D$59,MATCH((($I24-MarketData!$B$4)/360),Bootstrap!$B$39:$B$59,1)))*(((($I24-MarketData!$B$4)/360))-INDEX(Bootstrap!$B$39:$B$59,MATCH((($I24-MarketData!$B$4)/360),Bootstrap!$B$39:$B$59,1)))/(INDEX(Bootstrap!$B$39:$B$59,MATCH((($I24-MarketData!$B$4)/360),Bootstrap!$B$39:$B$59,1)+1)-INDEX(Bootstrap!$B$39:$B$59,MATCH((($I24-MarketData!$B$4)/360),Bootstrap!$B$39:$B$59,1))))</f>
        <v>0.93555226814274</v>
      </c>
      <c r="L24" s="25" t="n">
        <f aca="false">(J24/K24-1)/G24</f>
        <v>0.0395429246068685</v>
      </c>
      <c r="M24" s="22" t="n">
        <f aca="false">MarketData!$C$70</f>
        <v>0.0390056628</v>
      </c>
      <c r="N24" s="31" t="n">
        <f aca="false">(L24-M24)*10000</f>
        <v>5.37261806868535</v>
      </c>
    </row>
    <row r="25" customFormat="false" ht="15" hidden="false" customHeight="false" outlineLevel="0" collapsed="false">
      <c r="A25" s="16" t="n">
        <f aca="false">MarketData!$A$71</f>
        <v>46805</v>
      </c>
      <c r="B25" s="21" t="n">
        <f aca="false">(A25-MarketData!$B$4)/360</f>
        <v>1.74444444444444</v>
      </c>
      <c r="C25" s="30" t="n">
        <f aca="false">EXP(INDEX(Bootstrap!$D$39:$D$59,MATCH($B25,Bootstrap!$B$39:$B$59,1))+(INDEX(Bootstrap!$D$39:$D$59,MATCH($B25,Bootstrap!$B$39:$B$59,1)+1)-INDEX(Bootstrap!$D$39:$D$59,MATCH($B25,Bootstrap!$B$39:$B$59,1)))*(($B25)-INDEX(Bootstrap!$B$39:$B$59,MATCH($B25,Bootstrap!$B$39:$B$59,1)))/(INDEX(Bootstrap!$B$39:$B$59,MATCH($B25,Bootstrap!$B$39:$B$59,1)+1)-INDEX(Bootstrap!$B$39:$B$59,MATCH($B25,Bootstrap!$B$39:$B$59,1))))</f>
        <v>0.934834507220479</v>
      </c>
      <c r="D25" s="30" t="n">
        <f aca="false">MarketData!$B$71</f>
        <v>0.934991866</v>
      </c>
      <c r="E25" s="31" t="n">
        <f aca="false">(LN(D25)-LN(C25))/B25*10000</f>
        <v>0.964856109574755</v>
      </c>
      <c r="F25" s="19" t="n">
        <f aca="false">A26</f>
        <v>46832</v>
      </c>
      <c r="G25" s="21" t="n">
        <f aca="false">(F25-A25)/360</f>
        <v>0.075</v>
      </c>
      <c r="H25" s="19" t="n">
        <f aca="false">WORKDAY(A25,-5)</f>
        <v>46798</v>
      </c>
      <c r="I25" s="19" t="n">
        <f aca="false">WORKDAY(F25,-5)</f>
        <v>46825</v>
      </c>
      <c r="J25" s="18" t="n">
        <f aca="false">EXP(INDEX(Bootstrap!$D$39:$D$59,MATCH((($H25-MarketData!$B$4)/360),Bootstrap!$B$39:$B$59,1))+(INDEX(Bootstrap!$D$39:$D$59,MATCH((($H25-MarketData!$B$4)/360),Bootstrap!$B$39:$B$59,1)+1)-INDEX(Bootstrap!$D$39:$D$59,MATCH((($H25-MarketData!$B$4)/360),Bootstrap!$B$39:$B$59,1)))*(((($H25-MarketData!$B$4)/360))-INDEX(Bootstrap!$B$39:$B$59,MATCH((($H25-MarketData!$B$4)/360),Bootstrap!$B$39:$B$59,1)))/(INDEX(Bootstrap!$B$39:$B$59,MATCH((($H25-MarketData!$B$4)/360),Bootstrap!$B$39:$B$59,1)+1)-INDEX(Bootstrap!$B$39:$B$59,MATCH((($H25-MarketData!$B$4)/360),Bootstrap!$B$39:$B$59,1))))</f>
        <v>0.93555226814274</v>
      </c>
      <c r="K25" s="18" t="n">
        <f aca="false">EXP(INDEX(Bootstrap!$D$39:$D$59,MATCH((($I25-MarketData!$B$4)/360),Bootstrap!$B$39:$B$59,1))+(INDEX(Bootstrap!$D$39:$D$59,MATCH((($I25-MarketData!$B$4)/360),Bootstrap!$B$39:$B$59,1)+1)-INDEX(Bootstrap!$D$39:$D$59,MATCH((($I25-MarketData!$B$4)/360),Bootstrap!$B$39:$B$59,1)))*(((($I25-MarketData!$B$4)/360))-INDEX(Bootstrap!$B$39:$B$59,MATCH((($I25-MarketData!$B$4)/360),Bootstrap!$B$39:$B$59,1)))/(INDEX(Bootstrap!$B$39:$B$59,MATCH((($I25-MarketData!$B$4)/360),Bootstrap!$B$39:$B$59,1)+1)-INDEX(Bootstrap!$B$39:$B$59,MATCH((($I25-MarketData!$B$4)/360),Bootstrap!$B$39:$B$59,1))))</f>
        <v>0.932786794592544</v>
      </c>
      <c r="L25" s="25" t="n">
        <f aca="false">(J25/K25-1)/G25</f>
        <v>0.0395299128193353</v>
      </c>
      <c r="M25" s="22" t="n">
        <f aca="false">MarketData!$C$71</f>
        <v>0.0388264785</v>
      </c>
      <c r="N25" s="31" t="n">
        <f aca="false">(L25-M25)*10000</f>
        <v>7.03434319335311</v>
      </c>
    </row>
    <row r="26" customFormat="false" ht="15" hidden="false" customHeight="false" outlineLevel="0" collapsed="false">
      <c r="A26" s="16" t="n">
        <f aca="false">MarketData!$A$72</f>
        <v>46832</v>
      </c>
      <c r="B26" s="21" t="n">
        <f aca="false">(A26-MarketData!$B$4)/360</f>
        <v>1.81944444444444</v>
      </c>
      <c r="C26" s="30" t="n">
        <f aca="false">EXP(INDEX(Bootstrap!$D$39:$D$59,MATCH($B26,Bootstrap!$B$39:$B$59,1))+(INDEX(Bootstrap!$D$39:$D$59,MATCH($B26,Bootstrap!$B$39:$B$59,1)+1)-INDEX(Bootstrap!$D$39:$D$59,MATCH($B26,Bootstrap!$B$39:$B$59,1)))*(($B26)-INDEX(Bootstrap!$B$39:$B$59,MATCH($B26,Bootstrap!$B$39:$B$59,1)))/(INDEX(Bootstrap!$B$39:$B$59,MATCH($B26,Bootstrap!$B$39:$B$59,1)+1)-INDEX(Bootstrap!$B$39:$B$59,MATCH($B26,Bootstrap!$B$39:$B$59,1))))</f>
        <v>0.932078689776499</v>
      </c>
      <c r="D26" s="30" t="n">
        <f aca="false">MarketData!$B$72</f>
        <v>0.932280311</v>
      </c>
      <c r="E26" s="31" t="n">
        <f aca="false">(LN(D26)-LN(C26))/B26*10000</f>
        <v>1.18877017404583</v>
      </c>
      <c r="F26" s="19" t="n">
        <f aca="false">A27</f>
        <v>46863</v>
      </c>
      <c r="G26" s="21" t="n">
        <f aca="false">(F26-A26)/360</f>
        <v>0.0861111111111111</v>
      </c>
      <c r="H26" s="19" t="n">
        <f aca="false">WORKDAY(A26,-5)</f>
        <v>46825</v>
      </c>
      <c r="I26" s="19" t="n">
        <f aca="false">WORKDAY(F26,-5)</f>
        <v>46856</v>
      </c>
      <c r="J26" s="18" t="n">
        <f aca="false">EXP(INDEX(Bootstrap!$D$39:$D$59,MATCH((($H26-MarketData!$B$4)/360),Bootstrap!$B$39:$B$59,1))+(INDEX(Bootstrap!$D$39:$D$59,MATCH((($H26-MarketData!$B$4)/360),Bootstrap!$B$39:$B$59,1)+1)-INDEX(Bootstrap!$D$39:$D$59,MATCH((($H26-MarketData!$B$4)/360),Bootstrap!$B$39:$B$59,1)))*(((($H26-MarketData!$B$4)/360))-INDEX(Bootstrap!$B$39:$B$59,MATCH((($H26-MarketData!$B$4)/360),Bootstrap!$B$39:$B$59,1)))/(INDEX(Bootstrap!$B$39:$B$59,MATCH((($H26-MarketData!$B$4)/360),Bootstrap!$B$39:$B$59,1)+1)-INDEX(Bootstrap!$B$39:$B$59,MATCH((($H26-MarketData!$B$4)/360),Bootstrap!$B$39:$B$59,1))))</f>
        <v>0.932786794592544</v>
      </c>
      <c r="K26" s="18" t="n">
        <f aca="false">EXP(INDEX(Bootstrap!$D$39:$D$59,MATCH((($I26-MarketData!$B$4)/360),Bootstrap!$B$39:$B$59,1))+(INDEX(Bootstrap!$D$39:$D$59,MATCH((($I26-MarketData!$B$4)/360),Bootstrap!$B$39:$B$59,1)+1)-INDEX(Bootstrap!$D$39:$D$59,MATCH((($I26-MarketData!$B$4)/360),Bootstrap!$B$39:$B$59,1)))*(((($I26-MarketData!$B$4)/360))-INDEX(Bootstrap!$B$39:$B$59,MATCH((($I26-MarketData!$B$4)/360),Bootstrap!$B$39:$B$59,1)))/(INDEX(Bootstrap!$B$39:$B$59,MATCH((($I26-MarketData!$B$4)/360),Bootstrap!$B$39:$B$59,1)+1)-INDEX(Bootstrap!$B$39:$B$59,MATCH((($I26-MarketData!$B$4)/360),Bootstrap!$B$39:$B$59,1))))</f>
        <v>0.929665286410495</v>
      </c>
      <c r="L26" s="25" t="n">
        <f aca="false">(J26/K26-1)/G26</f>
        <v>0.0389922835310577</v>
      </c>
      <c r="M26" s="22" t="n">
        <f aca="false">MarketData!$C$72</f>
        <v>0.0386665667</v>
      </c>
      <c r="N26" s="31" t="n">
        <f aca="false">(L26-M26)*10000</f>
        <v>3.25716831057699</v>
      </c>
    </row>
    <row r="27" customFormat="false" ht="15" hidden="false" customHeight="false" outlineLevel="0" collapsed="false">
      <c r="A27" s="16" t="n">
        <f aca="false">MarketData!$A$73</f>
        <v>46863</v>
      </c>
      <c r="B27" s="21" t="n">
        <f aca="false">(A27-MarketData!$B$4)/360</f>
        <v>1.90555555555556</v>
      </c>
      <c r="C27" s="30" t="n">
        <f aca="false">EXP(INDEX(Bootstrap!$D$39:$D$59,MATCH($B27,Bootstrap!$B$39:$B$59,1))+(INDEX(Bootstrap!$D$39:$D$59,MATCH($B27,Bootstrap!$B$39:$B$59,1)+1)-INDEX(Bootstrap!$D$39:$D$59,MATCH($B27,Bootstrap!$B$39:$B$59,1)))*(($B27)-INDEX(Bootstrap!$B$39:$B$59,MATCH($B27,Bootstrap!$B$39:$B$59,1)))/(INDEX(Bootstrap!$B$39:$B$59,MATCH($B27,Bootstrap!$B$39:$B$59,1)+1)-INDEX(Bootstrap!$B$39:$B$59,MATCH($B27,Bootstrap!$B$39:$B$59,1))))</f>
        <v>0.928962554918938</v>
      </c>
      <c r="D27" s="30" t="n">
        <f aca="false">MarketData!$B$73</f>
        <v>0.929188735</v>
      </c>
      <c r="E27" s="31" t="n">
        <f aca="false">(LN(D27)-LN(C27))/B27*10000</f>
        <v>1.27756106299558</v>
      </c>
      <c r="F27" s="19" t="n">
        <f aca="false">A28</f>
        <v>46895</v>
      </c>
      <c r="G27" s="21" t="n">
        <f aca="false">(F27-A27)/360</f>
        <v>0.0888888888888889</v>
      </c>
      <c r="H27" s="19" t="n">
        <f aca="false">WORKDAY(A27,-5)</f>
        <v>46856</v>
      </c>
      <c r="I27" s="19" t="n">
        <f aca="false">WORKDAY(F27,-5)</f>
        <v>46888</v>
      </c>
      <c r="J27" s="18" t="n">
        <f aca="false">EXP(INDEX(Bootstrap!$D$39:$D$59,MATCH((($H27-MarketData!$B$4)/360),Bootstrap!$B$39:$B$59,1))+(INDEX(Bootstrap!$D$39:$D$59,MATCH((($H27-MarketData!$B$4)/360),Bootstrap!$B$39:$B$59,1)+1)-INDEX(Bootstrap!$D$39:$D$59,MATCH((($H27-MarketData!$B$4)/360),Bootstrap!$B$39:$B$59,1)))*(((($H27-MarketData!$B$4)/360))-INDEX(Bootstrap!$B$39:$B$59,MATCH((($H27-MarketData!$B$4)/360),Bootstrap!$B$39:$B$59,1)))/(INDEX(Bootstrap!$B$39:$B$59,MATCH((($H27-MarketData!$B$4)/360),Bootstrap!$B$39:$B$59,1)+1)-INDEX(Bootstrap!$B$39:$B$59,MATCH((($H27-MarketData!$B$4)/360),Bootstrap!$B$39:$B$59,1))))</f>
        <v>0.929665286410495</v>
      </c>
      <c r="K27" s="18" t="n">
        <f aca="false">EXP(INDEX(Bootstrap!$D$39:$D$59,MATCH((($I27-MarketData!$B$4)/360),Bootstrap!$B$39:$B$59,1))+(INDEX(Bootstrap!$D$39:$D$59,MATCH((($I27-MarketData!$B$4)/360),Bootstrap!$B$39:$B$59,1)+1)-INDEX(Bootstrap!$D$39:$D$59,MATCH((($I27-MarketData!$B$4)/360),Bootstrap!$B$39:$B$59,1)))*(((($I27-MarketData!$B$4)/360))-INDEX(Bootstrap!$B$39:$B$59,MATCH((($I27-MarketData!$B$4)/360),Bootstrap!$B$39:$B$59,1)))/(INDEX(Bootstrap!$B$39:$B$59,MATCH((($I27-MarketData!$B$4)/360),Bootstrap!$B$39:$B$59,1)+1)-INDEX(Bootstrap!$B$39:$B$59,MATCH((($I27-MarketData!$B$4)/360),Bootstrap!$B$39:$B$59,1))))</f>
        <v>0.926457133051392</v>
      </c>
      <c r="L27" s="25" t="n">
        <f aca="false">(J27/K27-1)/G27</f>
        <v>0.0389567137024868</v>
      </c>
      <c r="M27" s="22" t="n">
        <f aca="false">MarketData!$C$73</f>
        <v>0.0385511882</v>
      </c>
      <c r="N27" s="31" t="n">
        <f aca="false">(L27-M27)*10000</f>
        <v>4.0552550248682</v>
      </c>
    </row>
    <row r="28" customFormat="false" ht="15" hidden="false" customHeight="false" outlineLevel="0" collapsed="false">
      <c r="A28" s="16" t="n">
        <f aca="false">MarketData!$A$74</f>
        <v>46895</v>
      </c>
      <c r="B28" s="21" t="n">
        <f aca="false">(A28-MarketData!$B$4)/360</f>
        <v>1.99444444444444</v>
      </c>
      <c r="C28" s="30" t="n">
        <f aca="false">EXP(INDEX(Bootstrap!$D$39:$D$59,MATCH($B28,Bootstrap!$B$39:$B$59,1))+(INDEX(Bootstrap!$D$39:$D$59,MATCH($B28,Bootstrap!$B$39:$B$59,1)+1)-INDEX(Bootstrap!$D$39:$D$59,MATCH($B28,Bootstrap!$B$39:$B$59,1)))*(($B28)-INDEX(Bootstrap!$B$39:$B$59,MATCH($B28,Bootstrap!$B$39:$B$59,1)))/(INDEX(Bootstrap!$B$39:$B$59,MATCH($B28,Bootstrap!$B$39:$B$59,1)+1)-INDEX(Bootstrap!$B$39:$B$59,MATCH($B28,Bootstrap!$B$39:$B$59,1))))</f>
        <v>0.925756826594337</v>
      </c>
      <c r="D28" s="30" t="n">
        <f aca="false">MarketData!$B$74</f>
        <v>0.926017629</v>
      </c>
      <c r="E28" s="31" t="n">
        <f aca="false">(LN(D28)-LN(C28))/B28*10000</f>
        <v>1.41231495929905</v>
      </c>
      <c r="F28" s="19" t="n">
        <f aca="false">A29</f>
        <v>46924</v>
      </c>
      <c r="G28" s="21" t="n">
        <f aca="false">(F28-A28)/360</f>
        <v>0.0805555555555556</v>
      </c>
      <c r="H28" s="19" t="n">
        <f aca="false">WORKDAY(A28,-5)</f>
        <v>46888</v>
      </c>
      <c r="I28" s="19" t="n">
        <f aca="false">WORKDAY(F28,-5)</f>
        <v>46917</v>
      </c>
      <c r="J28" s="18" t="n">
        <f aca="false">EXP(INDEX(Bootstrap!$D$39:$D$59,MATCH((($H28-MarketData!$B$4)/360),Bootstrap!$B$39:$B$59,1))+(INDEX(Bootstrap!$D$39:$D$59,MATCH((($H28-MarketData!$B$4)/360),Bootstrap!$B$39:$B$59,1)+1)-INDEX(Bootstrap!$D$39:$D$59,MATCH((($H28-MarketData!$B$4)/360),Bootstrap!$B$39:$B$59,1)))*(((($H28-MarketData!$B$4)/360))-INDEX(Bootstrap!$B$39:$B$59,MATCH((($H28-MarketData!$B$4)/360),Bootstrap!$B$39:$B$59,1)))/(INDEX(Bootstrap!$B$39:$B$59,MATCH((($H28-MarketData!$B$4)/360),Bootstrap!$B$39:$B$59,1)+1)-INDEX(Bootstrap!$B$39:$B$59,MATCH((($H28-MarketData!$B$4)/360),Bootstrap!$B$39:$B$59,1))))</f>
        <v>0.926457133051392</v>
      </c>
      <c r="K28" s="18" t="n">
        <f aca="false">EXP(INDEX(Bootstrap!$D$39:$D$59,MATCH((($I28-MarketData!$B$4)/360),Bootstrap!$B$39:$B$59,1))+(INDEX(Bootstrap!$D$39:$D$59,MATCH((($I28-MarketData!$B$4)/360),Bootstrap!$B$39:$B$59,1)+1)-INDEX(Bootstrap!$D$39:$D$59,MATCH((($I28-MarketData!$B$4)/360),Bootstrap!$B$39:$B$59,1)))*(((($I28-MarketData!$B$4)/360))-INDEX(Bootstrap!$B$39:$B$59,MATCH((($I28-MarketData!$B$4)/360),Bootstrap!$B$39:$B$59,1)))/(INDEX(Bootstrap!$B$39:$B$59,MATCH((($I28-MarketData!$B$4)/360),Bootstrap!$B$39:$B$59,1)+1)-INDEX(Bootstrap!$B$39:$B$59,MATCH((($I28-MarketData!$B$4)/360),Bootstrap!$B$39:$B$59,1))))</f>
        <v>0.923559307823406</v>
      </c>
      <c r="L28" s="25" t="n">
        <f aca="false">(J28/K28-1)/G28</f>
        <v>0.0389503982315438</v>
      </c>
      <c r="M28" s="22" t="n">
        <f aca="false">MarketData!$C$74</f>
        <v>0.0384341226</v>
      </c>
      <c r="N28" s="31" t="n">
        <f aca="false">(L28-M28)*10000</f>
        <v>5.162756315438</v>
      </c>
    </row>
    <row r="29" customFormat="false" ht="15" hidden="false" customHeight="false" outlineLevel="0" collapsed="false">
      <c r="A29" s="16" t="n">
        <f aca="false">MarketData!$A$75</f>
        <v>46924</v>
      </c>
      <c r="B29" s="21" t="n">
        <f aca="false">(A29-MarketData!$B$4)/360</f>
        <v>2.075</v>
      </c>
      <c r="C29" s="30" t="n">
        <f aca="false">EXP(INDEX(Bootstrap!$D$39:$D$59,MATCH($B29,Bootstrap!$B$39:$B$59,1))+(INDEX(Bootstrap!$D$39:$D$59,MATCH($B29,Bootstrap!$B$39:$B$59,1)+1)-INDEX(Bootstrap!$D$39:$D$59,MATCH($B29,Bootstrap!$B$39:$B$59,1)))*(($B29)-INDEX(Bootstrap!$B$39:$B$59,MATCH($B29,Bootstrap!$B$39:$B$59,1)))/(INDEX(Bootstrap!$B$39:$B$59,MATCH($B29,Bootstrap!$B$39:$B$59,1)+1)-INDEX(Bootstrap!$B$39:$B$59,MATCH($B29,Bootstrap!$B$39:$B$59,1))))</f>
        <v>0.922861191824654</v>
      </c>
      <c r="D29" s="30" t="n">
        <f aca="false">MarketData!$B$75</f>
        <v>0.923160833</v>
      </c>
      <c r="E29" s="31" t="n">
        <f aca="false">(LN(D29)-LN(C29))/B29*10000</f>
        <v>1.56450340283503</v>
      </c>
      <c r="F29" s="19" t="n">
        <f aca="false">A30</f>
        <v>46954</v>
      </c>
      <c r="G29" s="21" t="n">
        <f aca="false">(F29-A29)/360</f>
        <v>0.0833333333333333</v>
      </c>
      <c r="H29" s="19" t="n">
        <f aca="false">WORKDAY(A29,-5)</f>
        <v>46917</v>
      </c>
      <c r="I29" s="19" t="n">
        <f aca="false">WORKDAY(F29,-5)</f>
        <v>46947</v>
      </c>
      <c r="J29" s="18" t="n">
        <f aca="false">EXP(INDEX(Bootstrap!$D$39:$D$59,MATCH((($H29-MarketData!$B$4)/360),Bootstrap!$B$39:$B$59,1))+(INDEX(Bootstrap!$D$39:$D$59,MATCH((($H29-MarketData!$B$4)/360),Bootstrap!$B$39:$B$59,1)+1)-INDEX(Bootstrap!$D$39:$D$59,MATCH((($H29-MarketData!$B$4)/360),Bootstrap!$B$39:$B$59,1)))*(((($H29-MarketData!$B$4)/360))-INDEX(Bootstrap!$B$39:$B$59,MATCH((($H29-MarketData!$B$4)/360),Bootstrap!$B$39:$B$59,1)))/(INDEX(Bootstrap!$B$39:$B$59,MATCH((($H29-MarketData!$B$4)/360),Bootstrap!$B$39:$B$59,1)+1)-INDEX(Bootstrap!$B$39:$B$59,MATCH((($H29-MarketData!$B$4)/360),Bootstrap!$B$39:$B$59,1))))</f>
        <v>0.923559307823406</v>
      </c>
      <c r="K29" s="18" t="n">
        <f aca="false">EXP(INDEX(Bootstrap!$D$39:$D$59,MATCH((($I29-MarketData!$B$4)/360),Bootstrap!$B$39:$B$59,1))+(INDEX(Bootstrap!$D$39:$D$59,MATCH((($I29-MarketData!$B$4)/360),Bootstrap!$B$39:$B$59,1)+1)-INDEX(Bootstrap!$D$39:$D$59,MATCH((($I29-MarketData!$B$4)/360),Bootstrap!$B$39:$B$59,1)))*(((($I29-MarketData!$B$4)/360))-INDEX(Bootstrap!$B$39:$B$59,MATCH((($I29-MarketData!$B$4)/360),Bootstrap!$B$39:$B$59,1)))/(INDEX(Bootstrap!$B$39:$B$59,MATCH((($I29-MarketData!$B$4)/360),Bootstrap!$B$39:$B$59,1)+1)-INDEX(Bootstrap!$B$39:$B$59,MATCH((($I29-MarketData!$B$4)/360),Bootstrap!$B$39:$B$59,1))))</f>
        <v>0.920596287594069</v>
      </c>
      <c r="L29" s="25" t="n">
        <f aca="false">(J29/K29-1)/G29</f>
        <v>0.0386230568504367</v>
      </c>
      <c r="M29" s="22" t="n">
        <f aca="false">MarketData!$C$75</f>
        <v>0.038388691</v>
      </c>
      <c r="N29" s="31" t="n">
        <f aca="false">(L29-M29)*10000</f>
        <v>2.34365850436652</v>
      </c>
    </row>
    <row r="30" customFormat="false" ht="15" hidden="false" customHeight="false" outlineLevel="0" collapsed="false">
      <c r="A30" s="16" t="n">
        <f aca="false">MarketData!$A$76</f>
        <v>46954</v>
      </c>
      <c r="B30" s="21" t="n">
        <f aca="false">(A30-MarketData!$B$4)/360</f>
        <v>2.15833333333333</v>
      </c>
      <c r="C30" s="30" t="n">
        <f aca="false">EXP(INDEX(Bootstrap!$D$39:$D$59,MATCH($B30,Bootstrap!$B$39:$B$59,1))+(INDEX(Bootstrap!$D$39:$D$59,MATCH($B30,Bootstrap!$B$39:$B$59,1)+1)-INDEX(Bootstrap!$D$39:$D$59,MATCH($B30,Bootstrap!$B$39:$B$59,1)))*(($B30)-INDEX(Bootstrap!$B$39:$B$59,MATCH($B30,Bootstrap!$B$39:$B$59,1)))/(INDEX(Bootstrap!$B$39:$B$59,MATCH($B30,Bootstrap!$B$39:$B$59,1)+1)-INDEX(Bootstrap!$B$39:$B$59,MATCH($B30,Bootstrap!$B$39:$B$59,1))))</f>
        <v>0.919908421104475</v>
      </c>
      <c r="D30" s="30" t="n">
        <f aca="false">MarketData!$B$76</f>
        <v>0.920217805</v>
      </c>
      <c r="E30" s="31" t="n">
        <f aca="false">(LN(D30)-LN(C30))/B30*10000</f>
        <v>1.5579788944475</v>
      </c>
      <c r="F30" s="19" t="n">
        <f aca="false">A31</f>
        <v>46986</v>
      </c>
      <c r="G30" s="21" t="n">
        <f aca="false">(F30-A30)/360</f>
        <v>0.0888888888888889</v>
      </c>
      <c r="H30" s="19" t="n">
        <f aca="false">WORKDAY(A30,-5)</f>
        <v>46947</v>
      </c>
      <c r="I30" s="19" t="n">
        <f aca="false">WORKDAY(F30,-5)</f>
        <v>46979</v>
      </c>
      <c r="J30" s="18" t="n">
        <f aca="false">EXP(INDEX(Bootstrap!$D$39:$D$59,MATCH((($H30-MarketData!$B$4)/360),Bootstrap!$B$39:$B$59,1))+(INDEX(Bootstrap!$D$39:$D$59,MATCH((($H30-MarketData!$B$4)/360),Bootstrap!$B$39:$B$59,1)+1)-INDEX(Bootstrap!$D$39:$D$59,MATCH((($H30-MarketData!$B$4)/360),Bootstrap!$B$39:$B$59,1)))*(((($H30-MarketData!$B$4)/360))-INDEX(Bootstrap!$B$39:$B$59,MATCH((($H30-MarketData!$B$4)/360),Bootstrap!$B$39:$B$59,1)))/(INDEX(Bootstrap!$B$39:$B$59,MATCH((($H30-MarketData!$B$4)/360),Bootstrap!$B$39:$B$59,1)+1)-INDEX(Bootstrap!$B$39:$B$59,MATCH((($H30-MarketData!$B$4)/360),Bootstrap!$B$39:$B$59,1))))</f>
        <v>0.920596287594069</v>
      </c>
      <c r="K30" s="18" t="n">
        <f aca="false">EXP(INDEX(Bootstrap!$D$39:$D$59,MATCH((($I30-MarketData!$B$4)/360),Bootstrap!$B$39:$B$59,1))+(INDEX(Bootstrap!$D$39:$D$59,MATCH((($I30-MarketData!$B$4)/360),Bootstrap!$B$39:$B$59,1)+1)-INDEX(Bootstrap!$D$39:$D$59,MATCH((($I30-MarketData!$B$4)/360),Bootstrap!$B$39:$B$59,1)))*(((($I30-MarketData!$B$4)/360))-INDEX(Bootstrap!$B$39:$B$59,MATCH((($I30-MarketData!$B$4)/360),Bootstrap!$B$39:$B$59,1)))/(INDEX(Bootstrap!$B$39:$B$59,MATCH((($I30-MarketData!$B$4)/360),Bootstrap!$B$39:$B$59,1)+1)-INDEX(Bootstrap!$B$39:$B$59,MATCH((($I30-MarketData!$B$4)/360),Bootstrap!$B$39:$B$59,1))))</f>
        <v>0.917455948070032</v>
      </c>
      <c r="L30" s="25" t="n">
        <f aca="false">(J30/K30-1)/G30</f>
        <v>0.0385073743537576</v>
      </c>
      <c r="M30" s="22" t="n">
        <f aca="false">MarketData!$C$76</f>
        <v>0.0383359633</v>
      </c>
      <c r="N30" s="31" t="n">
        <f aca="false">(L30-M30)*10000</f>
        <v>1.71411053757564</v>
      </c>
    </row>
    <row r="31" customFormat="false" ht="15" hidden="false" customHeight="false" outlineLevel="0" collapsed="false">
      <c r="A31" s="16" t="n">
        <f aca="false">MarketData!$A$77</f>
        <v>46986</v>
      </c>
      <c r="B31" s="21" t="n">
        <f aca="false">(A31-MarketData!$B$4)/360</f>
        <v>2.24722222222222</v>
      </c>
      <c r="C31" s="30" t="n">
        <f aca="false">EXP(INDEX(Bootstrap!$D$39:$D$59,MATCH($B31,Bootstrap!$B$39:$B$59,1))+(INDEX(Bootstrap!$D$39:$D$59,MATCH($B31,Bootstrap!$B$39:$B$59,1)+1)-INDEX(Bootstrap!$D$39:$D$59,MATCH($B31,Bootstrap!$B$39:$B$59,1)))*(($B31)-INDEX(Bootstrap!$B$39:$B$59,MATCH($B31,Bootstrap!$B$39:$B$59,1)))/(INDEX(Bootstrap!$B$39:$B$59,MATCH($B31,Bootstrap!$B$39:$B$59,1)+1)-INDEX(Bootstrap!$B$39:$B$59,MATCH($B31,Bootstrap!$B$39:$B$59,1))))</f>
        <v>0.916770428031704</v>
      </c>
      <c r="D31" s="30" t="n">
        <f aca="false">MarketData!$B$77</f>
        <v>0.917093781</v>
      </c>
      <c r="E31" s="31" t="n">
        <f aca="false">(LN(D31)-LN(C31))/B31*10000</f>
        <v>1.5692554901411</v>
      </c>
      <c r="F31" s="19" t="n">
        <f aca="false">A32</f>
        <v>47016</v>
      </c>
      <c r="G31" s="21" t="n">
        <f aca="false">(F31-A31)/360</f>
        <v>0.0833333333333333</v>
      </c>
      <c r="H31" s="19" t="n">
        <f aca="false">WORKDAY(A31,-5)</f>
        <v>46979</v>
      </c>
      <c r="I31" s="19" t="n">
        <f aca="false">WORKDAY(F31,-5)</f>
        <v>47009</v>
      </c>
      <c r="J31" s="18" t="n">
        <f aca="false">EXP(INDEX(Bootstrap!$D$39:$D$59,MATCH((($H31-MarketData!$B$4)/360),Bootstrap!$B$39:$B$59,1))+(INDEX(Bootstrap!$D$39:$D$59,MATCH((($H31-MarketData!$B$4)/360),Bootstrap!$B$39:$B$59,1)+1)-INDEX(Bootstrap!$D$39:$D$59,MATCH((($H31-MarketData!$B$4)/360),Bootstrap!$B$39:$B$59,1)))*(((($H31-MarketData!$B$4)/360))-INDEX(Bootstrap!$B$39:$B$59,MATCH((($H31-MarketData!$B$4)/360),Bootstrap!$B$39:$B$59,1)))/(INDEX(Bootstrap!$B$39:$B$59,MATCH((($H31-MarketData!$B$4)/360),Bootstrap!$B$39:$B$59,1)+1)-INDEX(Bootstrap!$B$39:$B$59,MATCH((($H31-MarketData!$B$4)/360),Bootstrap!$B$39:$B$59,1))))</f>
        <v>0.917455948070032</v>
      </c>
      <c r="K31" s="18" t="n">
        <f aca="false">EXP(INDEX(Bootstrap!$D$39:$D$59,MATCH((($I31-MarketData!$B$4)/360),Bootstrap!$B$39:$B$59,1))+(INDEX(Bootstrap!$D$39:$D$59,MATCH((($I31-MarketData!$B$4)/360),Bootstrap!$B$39:$B$59,1)+1)-INDEX(Bootstrap!$D$39:$D$59,MATCH((($I31-MarketData!$B$4)/360),Bootstrap!$B$39:$B$59,1)))*(((($I31-MarketData!$B$4)/360))-INDEX(Bootstrap!$B$39:$B$59,MATCH((($I31-MarketData!$B$4)/360),Bootstrap!$B$39:$B$59,1)))/(INDEX(Bootstrap!$B$39:$B$59,MATCH((($I31-MarketData!$B$4)/360),Bootstrap!$B$39:$B$59,1)+1)-INDEX(Bootstrap!$B$39:$B$59,MATCH((($I31-MarketData!$B$4)/360),Bootstrap!$B$39:$B$59,1))))</f>
        <v>0.914521609430945</v>
      </c>
      <c r="L31" s="25" t="n">
        <f aca="false">(J31/K31-1)/G31</f>
        <v>0.0385032603996693</v>
      </c>
      <c r="M31" s="22" t="n">
        <f aca="false">MarketData!$C$77</f>
        <v>0.0382723346</v>
      </c>
      <c r="N31" s="31" t="n">
        <f aca="false">(L31-M31)*10000</f>
        <v>2.30925799669338</v>
      </c>
    </row>
    <row r="32" customFormat="false" ht="15" hidden="false" customHeight="false" outlineLevel="0" collapsed="false">
      <c r="A32" s="16" t="n">
        <f aca="false">MarketData!$A$78</f>
        <v>47016</v>
      </c>
      <c r="B32" s="21" t="n">
        <f aca="false">(A32-MarketData!$B$4)/360</f>
        <v>2.33055555555556</v>
      </c>
      <c r="C32" s="30" t="n">
        <f aca="false">EXP(INDEX(Bootstrap!$D$39:$D$59,MATCH($B32,Bootstrap!$B$39:$B$59,1))+(INDEX(Bootstrap!$D$39:$D$59,MATCH($B32,Bootstrap!$B$39:$B$59,1)+1)-INDEX(Bootstrap!$D$39:$D$59,MATCH($B32,Bootstrap!$B$39:$B$59,1)))*(($B32)-INDEX(Bootstrap!$B$39:$B$59,MATCH($B32,Bootstrap!$B$39:$B$59,1)))/(INDEX(Bootstrap!$B$39:$B$59,MATCH($B32,Bootstrap!$B$39:$B$59,1)+1)-INDEX(Bootstrap!$B$39:$B$59,MATCH($B32,Bootstrap!$B$39:$B$59,1))))</f>
        <v>0.913838281920705</v>
      </c>
      <c r="D32" s="30" t="n">
        <f aca="false">MarketData!$B$78</f>
        <v>0.914179188</v>
      </c>
      <c r="E32" s="31" t="n">
        <f aca="false">(LN(D32)-LN(C32))/B32*10000</f>
        <v>1.60038674133124</v>
      </c>
      <c r="F32" s="19" t="n">
        <f aca="false">A33</f>
        <v>47046</v>
      </c>
      <c r="G32" s="21" t="n">
        <f aca="false">(F32-A32)/360</f>
        <v>0.0833333333333333</v>
      </c>
      <c r="H32" s="19" t="n">
        <f aca="false">WORKDAY(A32,-5)</f>
        <v>47009</v>
      </c>
      <c r="I32" s="19" t="n">
        <f aca="false">WORKDAY(F32,-5)</f>
        <v>47039</v>
      </c>
      <c r="J32" s="18" t="n">
        <f aca="false">EXP(INDEX(Bootstrap!$D$39:$D$59,MATCH((($H32-MarketData!$B$4)/360),Bootstrap!$B$39:$B$59,1))+(INDEX(Bootstrap!$D$39:$D$59,MATCH((($H32-MarketData!$B$4)/360),Bootstrap!$B$39:$B$59,1)+1)-INDEX(Bootstrap!$D$39:$D$59,MATCH((($H32-MarketData!$B$4)/360),Bootstrap!$B$39:$B$59,1)))*(((($H32-MarketData!$B$4)/360))-INDEX(Bootstrap!$B$39:$B$59,MATCH((($H32-MarketData!$B$4)/360),Bootstrap!$B$39:$B$59,1)))/(INDEX(Bootstrap!$B$39:$B$59,MATCH((($H32-MarketData!$B$4)/360),Bootstrap!$B$39:$B$59,1)+1)-INDEX(Bootstrap!$B$39:$B$59,MATCH((($H32-MarketData!$B$4)/360),Bootstrap!$B$39:$B$59,1))))</f>
        <v>0.914521609430945</v>
      </c>
      <c r="K32" s="18" t="n">
        <f aca="false">EXP(INDEX(Bootstrap!$D$39:$D$59,MATCH((($I32-MarketData!$B$4)/360),Bootstrap!$B$39:$B$59,1))+(INDEX(Bootstrap!$D$39:$D$59,MATCH((($I32-MarketData!$B$4)/360),Bootstrap!$B$39:$B$59,1)+1)-INDEX(Bootstrap!$D$39:$D$59,MATCH((($I32-MarketData!$B$4)/360),Bootstrap!$B$39:$B$59,1)))*(((($I32-MarketData!$B$4)/360))-INDEX(Bootstrap!$B$39:$B$59,MATCH((($I32-MarketData!$B$4)/360),Bootstrap!$B$39:$B$59,1)))/(INDEX(Bootstrap!$B$39:$B$59,MATCH((($I32-MarketData!$B$4)/360),Bootstrap!$B$39:$B$59,1)+1)-INDEX(Bootstrap!$B$39:$B$59,MATCH((($I32-MarketData!$B$4)/360),Bootstrap!$B$39:$B$59,1))))</f>
        <v>0.911615459704342</v>
      </c>
      <c r="L32" s="25" t="n">
        <f aca="false">(J32/K32-1)/G32</f>
        <v>0.0382549421995844</v>
      </c>
      <c r="M32" s="22" t="n">
        <f aca="false">MarketData!$C$78</f>
        <v>0.038215849</v>
      </c>
      <c r="N32" s="31" t="n">
        <f aca="false">(L32-M32)*10000</f>
        <v>0.390931995843599</v>
      </c>
    </row>
    <row r="33" customFormat="false" ht="15" hidden="false" customHeight="false" outlineLevel="0" collapsed="false">
      <c r="A33" s="16" t="n">
        <f aca="false">MarketData!$A$79</f>
        <v>47046</v>
      </c>
      <c r="B33" s="21" t="n">
        <f aca="false">(A33-MarketData!$B$4)/360</f>
        <v>2.41388888888889</v>
      </c>
      <c r="C33" s="30" t="n">
        <f aca="false">EXP(INDEX(Bootstrap!$D$39:$D$59,MATCH($B33,Bootstrap!$B$39:$B$59,1))+(INDEX(Bootstrap!$D$39:$D$59,MATCH($B33,Bootstrap!$B$39:$B$59,1)+1)-INDEX(Bootstrap!$D$39:$D$59,MATCH($B33,Bootstrap!$B$39:$B$59,1)))*(($B33)-INDEX(Bootstrap!$B$39:$B$59,MATCH($B33,Bootstrap!$B$39:$B$59,1)))/(INDEX(Bootstrap!$B$39:$B$59,MATCH($B33,Bootstrap!$B$39:$B$59,1)+1)-INDEX(Bootstrap!$B$39:$B$59,MATCH($B33,Bootstrap!$B$39:$B$59,1))))</f>
        <v>0.910940022383836</v>
      </c>
      <c r="D33" s="30" t="n">
        <f aca="false">MarketData!$B$79</f>
        <v>0.911277788</v>
      </c>
      <c r="E33" s="31" t="n">
        <f aca="false">(LN(D33)-LN(C33))/B33*10000</f>
        <v>1.53577599498025</v>
      </c>
      <c r="F33" s="19" t="n">
        <f aca="false">A34</f>
        <v>47077</v>
      </c>
      <c r="G33" s="21" t="n">
        <f aca="false">(F33-A33)/360</f>
        <v>0.0861111111111111</v>
      </c>
      <c r="H33" s="19" t="n">
        <f aca="false">WORKDAY(A33,-5)</f>
        <v>47039</v>
      </c>
      <c r="I33" s="19" t="n">
        <f aca="false">WORKDAY(F33,-5)</f>
        <v>47070</v>
      </c>
      <c r="J33" s="18" t="n">
        <f aca="false">EXP(INDEX(Bootstrap!$D$39:$D$59,MATCH((($H33-MarketData!$B$4)/360),Bootstrap!$B$39:$B$59,1))+(INDEX(Bootstrap!$D$39:$D$59,MATCH((($H33-MarketData!$B$4)/360),Bootstrap!$B$39:$B$59,1)+1)-INDEX(Bootstrap!$D$39:$D$59,MATCH((($H33-MarketData!$B$4)/360),Bootstrap!$B$39:$B$59,1)))*(((($H33-MarketData!$B$4)/360))-INDEX(Bootstrap!$B$39:$B$59,MATCH((($H33-MarketData!$B$4)/360),Bootstrap!$B$39:$B$59,1)))/(INDEX(Bootstrap!$B$39:$B$59,MATCH((($H33-MarketData!$B$4)/360),Bootstrap!$B$39:$B$59,1)+1)-INDEX(Bootstrap!$B$39:$B$59,MATCH((($H33-MarketData!$B$4)/360),Bootstrap!$B$39:$B$59,1))))</f>
        <v>0.911615459704342</v>
      </c>
      <c r="K33" s="18" t="n">
        <f aca="false">EXP(INDEX(Bootstrap!$D$39:$D$59,MATCH((($I33-MarketData!$B$4)/360),Bootstrap!$B$39:$B$59,1))+(INDEX(Bootstrap!$D$39:$D$59,MATCH((($I33-MarketData!$B$4)/360),Bootstrap!$B$39:$B$59,1)+1)-INDEX(Bootstrap!$D$39:$D$59,MATCH((($I33-MarketData!$B$4)/360),Bootstrap!$B$39:$B$59,1)))*(((($I33-MarketData!$B$4)/360))-INDEX(Bootstrap!$B$39:$B$59,MATCH((($I33-MarketData!$B$4)/360),Bootstrap!$B$39:$B$59,1)))/(INDEX(Bootstrap!$B$39:$B$59,MATCH((($I33-MarketData!$B$4)/360),Bootstrap!$B$39:$B$59,1)+1)-INDEX(Bootstrap!$B$39:$B$59,MATCH((($I33-MarketData!$B$4)/360),Bootstrap!$B$39:$B$59,1))))</f>
        <v>0.908628034321597</v>
      </c>
      <c r="L33" s="25" t="n">
        <f aca="false">(J33/K33-1)/G33</f>
        <v>0.0381813905731387</v>
      </c>
      <c r="M33" s="22" t="n">
        <f aca="false">MarketData!$C$79</f>
        <v>0.0381874835</v>
      </c>
      <c r="N33" s="31" t="n">
        <f aca="false">(L33-M33)*10000</f>
        <v>-0.0609292686129526</v>
      </c>
    </row>
    <row r="34" customFormat="false" ht="15" hidden="false" customHeight="false" outlineLevel="0" collapsed="false">
      <c r="A34" s="16" t="n">
        <f aca="false">MarketData!$A$80</f>
        <v>47077</v>
      </c>
      <c r="B34" s="21" t="n">
        <f aca="false">(A34-MarketData!$B$4)/360</f>
        <v>2.5</v>
      </c>
      <c r="C34" s="30" t="n">
        <f aca="false">EXP(INDEX(Bootstrap!$D$39:$D$59,MATCH($B34,Bootstrap!$B$39:$B$59,1))+(INDEX(Bootstrap!$D$39:$D$59,MATCH($B34,Bootstrap!$B$39:$B$59,1)+1)-INDEX(Bootstrap!$D$39:$D$59,MATCH($B34,Bootstrap!$B$39:$B$59,1)))*(($B34)-INDEX(Bootstrap!$B$39:$B$59,MATCH($B34,Bootstrap!$B$39:$B$59,1)))/(INDEX(Bootstrap!$B$39:$B$59,MATCH($B34,Bootstrap!$B$39:$B$59,1)+1)-INDEX(Bootstrap!$B$39:$B$59,MATCH($B34,Bootstrap!$B$39:$B$59,1))))</f>
        <v>0.907954810454772</v>
      </c>
      <c r="D34" s="30" t="n">
        <f aca="false">MarketData!$B$80</f>
        <v>0.908291477</v>
      </c>
      <c r="E34" s="31" t="n">
        <f aca="false">(LN(D34)-LN(C34))/B34*10000</f>
        <v>1.48291143732626</v>
      </c>
      <c r="F34" s="19" t="n">
        <f aca="false">A35</f>
        <v>47107</v>
      </c>
      <c r="G34" s="21" t="n">
        <f aca="false">(F34-A34)/360</f>
        <v>0.0833333333333333</v>
      </c>
      <c r="H34" s="19" t="n">
        <f aca="false">WORKDAY(A34,-5)</f>
        <v>47070</v>
      </c>
      <c r="I34" s="19" t="n">
        <f aca="false">WORKDAY(F34,-5)</f>
        <v>47100</v>
      </c>
      <c r="J34" s="18" t="n">
        <f aca="false">EXP(INDEX(Bootstrap!$D$39:$D$59,MATCH((($H34-MarketData!$B$4)/360),Bootstrap!$B$39:$B$59,1))+(INDEX(Bootstrap!$D$39:$D$59,MATCH((($H34-MarketData!$B$4)/360),Bootstrap!$B$39:$B$59,1)+1)-INDEX(Bootstrap!$D$39:$D$59,MATCH((($H34-MarketData!$B$4)/360),Bootstrap!$B$39:$B$59,1)))*(((($H34-MarketData!$B$4)/360))-INDEX(Bootstrap!$B$39:$B$59,MATCH((($H34-MarketData!$B$4)/360),Bootstrap!$B$39:$B$59,1)))/(INDEX(Bootstrap!$B$39:$B$59,MATCH((($H34-MarketData!$B$4)/360),Bootstrap!$B$39:$B$59,1)+1)-INDEX(Bootstrap!$B$39:$B$59,MATCH((($H34-MarketData!$B$4)/360),Bootstrap!$B$39:$B$59,1))))</f>
        <v>0.908628034321597</v>
      </c>
      <c r="K34" s="18" t="n">
        <f aca="false">EXP(INDEX(Bootstrap!$D$39:$D$59,MATCH((($I34-MarketData!$B$4)/360),Bootstrap!$B$39:$B$59,1))+(INDEX(Bootstrap!$D$39:$D$59,MATCH((($I34-MarketData!$B$4)/360),Bootstrap!$B$39:$B$59,1)+1)-INDEX(Bootstrap!$D$39:$D$59,MATCH((($I34-MarketData!$B$4)/360),Bootstrap!$B$39:$B$59,1)))*(((($I34-MarketData!$B$4)/360))-INDEX(Bootstrap!$B$39:$B$59,MATCH((($I34-MarketData!$B$4)/360),Bootstrap!$B$39:$B$59,1)))/(INDEX(Bootstrap!$B$39:$B$59,MATCH((($I34-MarketData!$B$4)/360),Bootstrap!$B$39:$B$59,1)+1)-INDEX(Bootstrap!$B$39:$B$59,MATCH((($I34-MarketData!$B$4)/360),Bootstrap!$B$39:$B$59,1))))</f>
        <v>0.905746299207147</v>
      </c>
      <c r="L34" s="25" t="n">
        <f aca="false">(J34/K34-1)/G34</f>
        <v>0.0381793681118818</v>
      </c>
      <c r="M34" s="22" t="n">
        <f aca="false">MarketData!$C$80</f>
        <v>0.0381584654</v>
      </c>
      <c r="N34" s="31" t="n">
        <f aca="false">(L34-M34)*10000</f>
        <v>0.209027118818275</v>
      </c>
    </row>
    <row r="35" customFormat="false" ht="15" hidden="false" customHeight="false" outlineLevel="0" collapsed="false">
      <c r="A35" s="16" t="n">
        <f aca="false">MarketData!$A$81</f>
        <v>47107</v>
      </c>
      <c r="B35" s="21" t="n">
        <f aca="false">(A35-MarketData!$B$4)/360</f>
        <v>2.58333333333333</v>
      </c>
      <c r="C35" s="30" t="n">
        <f aca="false">EXP(INDEX(Bootstrap!$D$39:$D$59,MATCH($B35,Bootstrap!$B$39:$B$59,1))+(INDEX(Bootstrap!$D$39:$D$59,MATCH($B35,Bootstrap!$B$39:$B$59,1)+1)-INDEX(Bootstrap!$D$39:$D$59,MATCH($B35,Bootstrap!$B$39:$B$59,1)))*(($B35)-INDEX(Bootstrap!$B$39:$B$59,MATCH($B35,Bootstrap!$B$39:$B$59,1)))/(INDEX(Bootstrap!$B$39:$B$59,MATCH($B35,Bootstrap!$B$39:$B$59,1)+1)-INDEX(Bootstrap!$B$39:$B$59,MATCH($B35,Bootstrap!$B$39:$B$59,1))))</f>
        <v>0.9050752104856</v>
      </c>
      <c r="D35" s="30" t="n">
        <f aca="false">MarketData!$B$81</f>
        <v>0.905412848</v>
      </c>
      <c r="E35" s="31" t="n">
        <f aca="false">(LN(D35)-LN(C35))/B35*10000</f>
        <v>1.44379183915083</v>
      </c>
      <c r="F35" s="19" t="n">
        <f aca="false">A36</f>
        <v>47140</v>
      </c>
      <c r="G35" s="21" t="n">
        <f aca="false">(F35-A35)/360</f>
        <v>0.0916666666666667</v>
      </c>
      <c r="H35" s="19" t="n">
        <f aca="false">WORKDAY(A35,-5)</f>
        <v>47100</v>
      </c>
      <c r="I35" s="19" t="n">
        <f aca="false">WORKDAY(F35,-5)</f>
        <v>47133</v>
      </c>
      <c r="J35" s="18" t="n">
        <f aca="false">EXP(INDEX(Bootstrap!$D$39:$D$59,MATCH((($H35-MarketData!$B$4)/360),Bootstrap!$B$39:$B$59,1))+(INDEX(Bootstrap!$D$39:$D$59,MATCH((($H35-MarketData!$B$4)/360),Bootstrap!$B$39:$B$59,1)+1)-INDEX(Bootstrap!$D$39:$D$59,MATCH((($H35-MarketData!$B$4)/360),Bootstrap!$B$39:$B$59,1)))*(((($H35-MarketData!$B$4)/360))-INDEX(Bootstrap!$B$39:$B$59,MATCH((($H35-MarketData!$B$4)/360),Bootstrap!$B$39:$B$59,1)))/(INDEX(Bootstrap!$B$39:$B$59,MATCH((($H35-MarketData!$B$4)/360),Bootstrap!$B$39:$B$59,1)+1)-INDEX(Bootstrap!$B$39:$B$59,MATCH((($H35-MarketData!$B$4)/360),Bootstrap!$B$39:$B$59,1))))</f>
        <v>0.905746299207147</v>
      </c>
      <c r="K35" s="18" t="n">
        <f aca="false">EXP(INDEX(Bootstrap!$D$39:$D$59,MATCH((($I35-MarketData!$B$4)/360),Bootstrap!$B$39:$B$59,1))+(INDEX(Bootstrap!$D$39:$D$59,MATCH((($I35-MarketData!$B$4)/360),Bootstrap!$B$39:$B$59,1)+1)-INDEX(Bootstrap!$D$39:$D$59,MATCH((($I35-MarketData!$B$4)/360),Bootstrap!$B$39:$B$59,1)))*(((($I35-MarketData!$B$4)/360))-INDEX(Bootstrap!$B$39:$B$59,MATCH((($I35-MarketData!$B$4)/360),Bootstrap!$B$39:$B$59,1)))/(INDEX(Bootstrap!$B$39:$B$59,MATCH((($I35-MarketData!$B$4)/360),Bootstrap!$B$39:$B$59,1)+1)-INDEX(Bootstrap!$B$39:$B$59,MATCH((($I35-MarketData!$B$4)/360),Bootstrap!$B$39:$B$59,1))))</f>
        <v>0.902588753312824</v>
      </c>
      <c r="L35" s="25" t="n">
        <f aca="false">(J35/K35-1)/G35</f>
        <v>0.03816351033</v>
      </c>
      <c r="M35" s="22" t="n">
        <f aca="false">MarketData!$C$81</f>
        <v>0.0381610395</v>
      </c>
      <c r="N35" s="31" t="n">
        <f aca="false">(L35-M35)*10000</f>
        <v>0.0247083000002452</v>
      </c>
    </row>
    <row r="36" customFormat="false" ht="15" hidden="false" customHeight="false" outlineLevel="0" collapsed="false">
      <c r="A36" s="16" t="n">
        <f aca="false">MarketData!$A$82</f>
        <v>47140</v>
      </c>
      <c r="B36" s="21" t="n">
        <f aca="false">(A36-MarketData!$B$4)/360</f>
        <v>2.675</v>
      </c>
      <c r="C36" s="30" t="n">
        <f aca="false">EXP(INDEX(Bootstrap!$D$39:$D$59,MATCH($B36,Bootstrap!$B$39:$B$59,1))+(INDEX(Bootstrap!$D$39:$D$59,MATCH($B36,Bootstrap!$B$39:$B$59,1)+1)-INDEX(Bootstrap!$D$39:$D$59,MATCH($B36,Bootstrap!$B$39:$B$59,1)))*(($B36)-INDEX(Bootstrap!$B$39:$B$59,MATCH($B36,Bootstrap!$B$39:$B$59,1)))/(INDEX(Bootstrap!$B$39:$B$59,MATCH($B36,Bootstrap!$B$39:$B$59,1)+1)-INDEX(Bootstrap!$B$39:$B$59,MATCH($B36,Bootstrap!$B$39:$B$59,1))))</f>
        <v>0.901920490429634</v>
      </c>
      <c r="D36" s="30" t="n">
        <f aca="false">MarketData!$B$82</f>
        <v>0.902256238</v>
      </c>
      <c r="E36" s="31" t="n">
        <f aca="false">(LN(D36)-LN(C36))/B36*10000</f>
        <v>1.39136160985194</v>
      </c>
      <c r="F36" s="19" t="n">
        <f aca="false">A37</f>
        <v>47169</v>
      </c>
      <c r="G36" s="21" t="n">
        <f aca="false">(F36-A36)/360</f>
        <v>0.0805555555555556</v>
      </c>
      <c r="H36" s="19" t="n">
        <f aca="false">WORKDAY(A36,-5)</f>
        <v>47133</v>
      </c>
      <c r="I36" s="19" t="n">
        <f aca="false">WORKDAY(F36,-5)</f>
        <v>47162</v>
      </c>
      <c r="J36" s="18" t="n">
        <f aca="false">EXP(INDEX(Bootstrap!$D$39:$D$59,MATCH((($H36-MarketData!$B$4)/360),Bootstrap!$B$39:$B$59,1))+(INDEX(Bootstrap!$D$39:$D$59,MATCH((($H36-MarketData!$B$4)/360),Bootstrap!$B$39:$B$59,1)+1)-INDEX(Bootstrap!$D$39:$D$59,MATCH((($H36-MarketData!$B$4)/360),Bootstrap!$B$39:$B$59,1)))*(((($H36-MarketData!$B$4)/360))-INDEX(Bootstrap!$B$39:$B$59,MATCH((($H36-MarketData!$B$4)/360),Bootstrap!$B$39:$B$59,1)))/(INDEX(Bootstrap!$B$39:$B$59,MATCH((($H36-MarketData!$B$4)/360),Bootstrap!$B$39:$B$59,1)+1)-INDEX(Bootstrap!$B$39:$B$59,MATCH((($H36-MarketData!$B$4)/360),Bootstrap!$B$39:$B$59,1))))</f>
        <v>0.902588753312824</v>
      </c>
      <c r="K36" s="18" t="n">
        <f aca="false">EXP(INDEX(Bootstrap!$D$39:$D$59,MATCH((($I36-MarketData!$B$4)/360),Bootstrap!$B$39:$B$59,1))+(INDEX(Bootstrap!$D$39:$D$59,MATCH((($I36-MarketData!$B$4)/360),Bootstrap!$B$39:$B$59,1)+1)-INDEX(Bootstrap!$D$39:$D$59,MATCH((($I36-MarketData!$B$4)/360),Bootstrap!$B$39:$B$59,1)))*(((($I36-MarketData!$B$4)/360))-INDEX(Bootstrap!$B$39:$B$59,MATCH((($I36-MarketData!$B$4)/360),Bootstrap!$B$39:$B$59,1)))/(INDEX(Bootstrap!$B$39:$B$59,MATCH((($I36-MarketData!$B$4)/360),Bootstrap!$B$39:$B$59,1)+1)-INDEX(Bootstrap!$B$39:$B$59,MATCH((($I36-MarketData!$B$4)/360),Bootstrap!$B$39:$B$59,1))))</f>
        <v>0.899823455014891</v>
      </c>
      <c r="L36" s="25" t="n">
        <f aca="false">(J36/K36-1)/G36</f>
        <v>0.0381495289420816</v>
      </c>
      <c r="M36" s="22" t="n">
        <f aca="false">MarketData!$C$82</f>
        <v>0.0381525492</v>
      </c>
      <c r="N36" s="31" t="n">
        <f aca="false">(L36-M36)*10000</f>
        <v>-0.0302025791840133</v>
      </c>
    </row>
    <row r="37" customFormat="false" ht="15" hidden="false" customHeight="false" outlineLevel="0" collapsed="false">
      <c r="A37" s="16" t="n">
        <f aca="false">MarketData!$A$83</f>
        <v>47169</v>
      </c>
      <c r="B37" s="21" t="n">
        <f aca="false">(A37-MarketData!$B$4)/360</f>
        <v>2.75555555555556</v>
      </c>
      <c r="C37" s="30" t="n">
        <f aca="false">EXP(INDEX(Bootstrap!$D$39:$D$59,MATCH($B37,Bootstrap!$B$39:$B$59,1))+(INDEX(Bootstrap!$D$39:$D$59,MATCH($B37,Bootstrap!$B$39:$B$59,1)+1)-INDEX(Bootstrap!$D$39:$D$59,MATCH($B37,Bootstrap!$B$39:$B$59,1)))*(($B37)-INDEX(Bootstrap!$B$39:$B$59,MATCH($B37,Bootstrap!$B$39:$B$59,1)))/(INDEX(Bootstrap!$B$39:$B$59,MATCH($B37,Bootstrap!$B$39:$B$59,1)+1)-INDEX(Bootstrap!$B$39:$B$59,MATCH($B37,Bootstrap!$B$39:$B$59,1))))</f>
        <v>0.89915723951619</v>
      </c>
      <c r="D37" s="30" t="n">
        <f aca="false">MarketData!$B$83</f>
        <v>0.899491855</v>
      </c>
      <c r="E37" s="31" t="n">
        <f aca="false">(LN(D37)-LN(C37))/B37*10000</f>
        <v>1.35026937995432</v>
      </c>
      <c r="F37" s="19" t="n">
        <f aca="false">A38</f>
        <v>47197</v>
      </c>
      <c r="G37" s="21" t="n">
        <f aca="false">(F37-A37)/360</f>
        <v>0.0777777777777778</v>
      </c>
      <c r="H37" s="19" t="n">
        <f aca="false">WORKDAY(A37,-5)</f>
        <v>47162</v>
      </c>
      <c r="I37" s="19" t="n">
        <f aca="false">WORKDAY(F37,-5)</f>
        <v>47190</v>
      </c>
      <c r="J37" s="18" t="n">
        <f aca="false">EXP(INDEX(Bootstrap!$D$39:$D$59,MATCH((($H37-MarketData!$B$4)/360),Bootstrap!$B$39:$B$59,1))+(INDEX(Bootstrap!$D$39:$D$59,MATCH((($H37-MarketData!$B$4)/360),Bootstrap!$B$39:$B$59,1)+1)-INDEX(Bootstrap!$D$39:$D$59,MATCH((($H37-MarketData!$B$4)/360),Bootstrap!$B$39:$B$59,1)))*(((($H37-MarketData!$B$4)/360))-INDEX(Bootstrap!$B$39:$B$59,MATCH((($H37-MarketData!$B$4)/360),Bootstrap!$B$39:$B$59,1)))/(INDEX(Bootstrap!$B$39:$B$59,MATCH((($H37-MarketData!$B$4)/360),Bootstrap!$B$39:$B$59,1)+1)-INDEX(Bootstrap!$B$39:$B$59,MATCH((($H37-MarketData!$B$4)/360),Bootstrap!$B$39:$B$59,1))))</f>
        <v>0.899823455014891</v>
      </c>
      <c r="K37" s="18" t="n">
        <f aca="false">EXP(INDEX(Bootstrap!$D$39:$D$59,MATCH((($I37-MarketData!$B$4)/360),Bootstrap!$B$39:$B$59,1))+(INDEX(Bootstrap!$D$39:$D$59,MATCH((($I37-MarketData!$B$4)/360),Bootstrap!$B$39:$B$59,1)+1)-INDEX(Bootstrap!$D$39:$D$59,MATCH((($I37-MarketData!$B$4)/360),Bootstrap!$B$39:$B$59,1)))*(((($I37-MarketData!$B$4)/360))-INDEX(Bootstrap!$B$39:$B$59,MATCH((($I37-MarketData!$B$4)/360),Bootstrap!$B$39:$B$59,1)))/(INDEX(Bootstrap!$B$39:$B$59,MATCH((($I37-MarketData!$B$4)/360),Bootstrap!$B$39:$B$59,1)+1)-INDEX(Bootstrap!$B$39:$B$59,MATCH((($I37-MarketData!$B$4)/360),Bootstrap!$B$39:$B$59,1))))</f>
        <v>0.897161551094044</v>
      </c>
      <c r="L37" s="25" t="n">
        <f aca="false">(J37/K37-1)/G37</f>
        <v>0.0381475097105812</v>
      </c>
      <c r="M37" s="22" t="n">
        <f aca="false">MarketData!$C$83</f>
        <v>0.0381438136</v>
      </c>
      <c r="N37" s="31" t="n">
        <f aca="false">(L37-M37)*10000</f>
        <v>0.036961105811667</v>
      </c>
    </row>
    <row r="38" customFormat="false" ht="15" hidden="false" customHeight="false" outlineLevel="0" collapsed="false">
      <c r="A38" s="16" t="n">
        <f aca="false">MarketData!$A$84</f>
        <v>47197</v>
      </c>
      <c r="B38" s="21" t="n">
        <f aca="false">(A38-MarketData!$B$4)/360</f>
        <v>2.83333333333333</v>
      </c>
      <c r="C38" s="30" t="n">
        <f aca="false">EXP(INDEX(Bootstrap!$D$39:$D$59,MATCH($B38,Bootstrap!$B$39:$B$59,1))+(INDEX(Bootstrap!$D$39:$D$59,MATCH($B38,Bootstrap!$B$39:$B$59,1)+1)-INDEX(Bootstrap!$D$39:$D$59,MATCH($B38,Bootstrap!$B$39:$B$59,1)))*(($B38)-INDEX(Bootstrap!$B$39:$B$59,MATCH($B38,Bootstrap!$B$39:$B$59,1)))/(INDEX(Bootstrap!$B$39:$B$59,MATCH($B38,Bootstrap!$B$39:$B$59,1)+1)-INDEX(Bootstrap!$B$39:$B$59,MATCH($B38,Bootstrap!$B$39:$B$59,1))))</f>
        <v>0.896497306428219</v>
      </c>
      <c r="D38" s="30" t="n">
        <f aca="false">MarketData!$B$84</f>
        <v>0.896831293</v>
      </c>
      <c r="E38" s="31" t="n">
        <f aca="false">(LN(D38)-LN(C38))/B38*10000</f>
        <v>1.31462371112742</v>
      </c>
      <c r="F38" s="19" t="n">
        <f aca="false">A39</f>
        <v>47228</v>
      </c>
      <c r="G38" s="21" t="n">
        <f aca="false">(F38-A38)/360</f>
        <v>0.0861111111111111</v>
      </c>
      <c r="H38" s="19" t="n">
        <f aca="false">WORKDAY(A38,-5)</f>
        <v>47190</v>
      </c>
      <c r="I38" s="19" t="n">
        <f aca="false">WORKDAY(F38,-5)</f>
        <v>47221</v>
      </c>
      <c r="J38" s="18" t="n">
        <f aca="false">EXP(INDEX(Bootstrap!$D$39:$D$59,MATCH((($H38-MarketData!$B$4)/360),Bootstrap!$B$39:$B$59,1))+(INDEX(Bootstrap!$D$39:$D$59,MATCH((($H38-MarketData!$B$4)/360),Bootstrap!$B$39:$B$59,1)+1)-INDEX(Bootstrap!$D$39:$D$59,MATCH((($H38-MarketData!$B$4)/360),Bootstrap!$B$39:$B$59,1)))*(((($H38-MarketData!$B$4)/360))-INDEX(Bootstrap!$B$39:$B$59,MATCH((($H38-MarketData!$B$4)/360),Bootstrap!$B$39:$B$59,1)))/(INDEX(Bootstrap!$B$39:$B$59,MATCH((($H38-MarketData!$B$4)/360),Bootstrap!$B$39:$B$59,1)+1)-INDEX(Bootstrap!$B$39:$B$59,MATCH((($H38-MarketData!$B$4)/360),Bootstrap!$B$39:$B$59,1))))</f>
        <v>0.897161551094044</v>
      </c>
      <c r="K38" s="18" t="n">
        <f aca="false">EXP(INDEX(Bootstrap!$D$39:$D$59,MATCH((($I38-MarketData!$B$4)/360),Bootstrap!$B$39:$B$59,1))+(INDEX(Bootstrap!$D$39:$D$59,MATCH((($I38-MarketData!$B$4)/360),Bootstrap!$B$39:$B$59,1)+1)-INDEX(Bootstrap!$D$39:$D$59,MATCH((($I38-MarketData!$B$4)/360),Bootstrap!$B$39:$B$59,1)))*(((($I38-MarketData!$B$4)/360))-INDEX(Bootstrap!$B$39:$B$59,MATCH((($I38-MarketData!$B$4)/360),Bootstrap!$B$39:$B$59,1)))/(INDEX(Bootstrap!$B$39:$B$59,MATCH((($I38-MarketData!$B$4)/360),Bootstrap!$B$39:$B$59,1)+1)-INDEX(Bootstrap!$B$39:$B$59,MATCH((($I38-MarketData!$B$4)/360),Bootstrap!$B$39:$B$59,1))))</f>
        <v>0.894224419718284</v>
      </c>
      <c r="L38" s="25" t="n">
        <f aca="false">(J38/K38-1)/G38</f>
        <v>0.0381432464558804</v>
      </c>
      <c r="M38" s="22" t="n">
        <f aca="false">MarketData!$C$84</f>
        <v>0.0381319115</v>
      </c>
      <c r="N38" s="31" t="n">
        <f aca="false">(L38-M38)*10000</f>
        <v>0.113349558803835</v>
      </c>
    </row>
    <row r="39" customFormat="false" ht="15" hidden="false" customHeight="false" outlineLevel="0" collapsed="false">
      <c r="A39" s="16" t="n">
        <f aca="false">MarketData!$A$85</f>
        <v>47228</v>
      </c>
      <c r="B39" s="21" t="n">
        <f aca="false">(A39-MarketData!$B$4)/360</f>
        <v>2.91944444444444</v>
      </c>
      <c r="C39" s="30" t="n">
        <f aca="false">EXP(INDEX(Bootstrap!$D$39:$D$59,MATCH($B39,Bootstrap!$B$39:$B$59,1))+(INDEX(Bootstrap!$D$39:$D$59,MATCH($B39,Bootstrap!$B$39:$B$59,1)+1)-INDEX(Bootstrap!$D$39:$D$59,MATCH($B39,Bootstrap!$B$39:$B$59,1)))*(($B39)-INDEX(Bootstrap!$B$39:$B$59,MATCH($B39,Bootstrap!$B$39:$B$59,1)))/(INDEX(Bootstrap!$B$39:$B$59,MATCH($B39,Bootstrap!$B$39:$B$59,1)+1)-INDEX(Bootstrap!$B$39:$B$59,MATCH($B39,Bootstrap!$B$39:$B$59,1))))</f>
        <v>0.893562590576624</v>
      </c>
      <c r="D39" s="30" t="n">
        <f aca="false">MarketData!$B$85</f>
        <v>0.893896301</v>
      </c>
      <c r="E39" s="31" t="n">
        <f aca="false">(LN(D39)-LN(C39))/B39*10000</f>
        <v>1.27897923893252</v>
      </c>
      <c r="F39" s="19" t="n">
        <f aca="false">A40</f>
        <v>47259</v>
      </c>
      <c r="G39" s="21" t="n">
        <f aca="false">(F39-A39)/360</f>
        <v>0.0861111111111111</v>
      </c>
      <c r="H39" s="19" t="n">
        <f aca="false">WORKDAY(A39,-5)</f>
        <v>47221</v>
      </c>
      <c r="I39" s="19" t="n">
        <f aca="false">WORKDAY(F39,-5)</f>
        <v>47252</v>
      </c>
      <c r="J39" s="18" t="n">
        <f aca="false">EXP(INDEX(Bootstrap!$D$39:$D$59,MATCH((($H39-MarketData!$B$4)/360),Bootstrap!$B$39:$B$59,1))+(INDEX(Bootstrap!$D$39:$D$59,MATCH((($H39-MarketData!$B$4)/360),Bootstrap!$B$39:$B$59,1)+1)-INDEX(Bootstrap!$D$39:$D$59,MATCH((($H39-MarketData!$B$4)/360),Bootstrap!$B$39:$B$59,1)))*(((($H39-MarketData!$B$4)/360))-INDEX(Bootstrap!$B$39:$B$59,MATCH((($H39-MarketData!$B$4)/360),Bootstrap!$B$39:$B$59,1)))/(INDEX(Bootstrap!$B$39:$B$59,MATCH((($H39-MarketData!$B$4)/360),Bootstrap!$B$39:$B$59,1)+1)-INDEX(Bootstrap!$B$39:$B$59,MATCH((($H39-MarketData!$B$4)/360),Bootstrap!$B$39:$B$59,1))))</f>
        <v>0.894224419718284</v>
      </c>
      <c r="K39" s="18" t="n">
        <f aca="false">EXP(INDEX(Bootstrap!$D$39:$D$59,MATCH((($I39-MarketData!$B$4)/360),Bootstrap!$B$39:$B$59,1))+(INDEX(Bootstrap!$D$39:$D$59,MATCH((($I39-MarketData!$B$4)/360),Bootstrap!$B$39:$B$59,1)+1)-INDEX(Bootstrap!$D$39:$D$59,MATCH((($I39-MarketData!$B$4)/360),Bootstrap!$B$39:$B$59,1)))*(((($I39-MarketData!$B$4)/360))-INDEX(Bootstrap!$B$39:$B$59,MATCH((($I39-MarketData!$B$4)/360),Bootstrap!$B$39:$B$59,1)))/(INDEX(Bootstrap!$B$39:$B$59,MATCH((($I39-MarketData!$B$4)/360),Bootstrap!$B$39:$B$59,1)+1)-INDEX(Bootstrap!$B$39:$B$59,MATCH((($I39-MarketData!$B$4)/360),Bootstrap!$B$39:$B$59,1))))</f>
        <v>0.891297178571735</v>
      </c>
      <c r="L39" s="25" t="n">
        <f aca="false">(J39/K39-1)/G39</f>
        <v>0.0381396564139779</v>
      </c>
      <c r="M39" s="22" t="n">
        <f aca="false">MarketData!$C$85</f>
        <v>0.0381356936</v>
      </c>
      <c r="N39" s="31" t="n">
        <f aca="false">(L39-M39)*10000</f>
        <v>0.0396281397791604</v>
      </c>
    </row>
    <row r="40" customFormat="false" ht="15" hidden="false" customHeight="false" outlineLevel="0" collapsed="false">
      <c r="A40" s="16" t="n">
        <f aca="false">MarketData!$A$86</f>
        <v>47259</v>
      </c>
      <c r="B40" s="21" t="n">
        <f aca="false">(A40-MarketData!$B$4)/360</f>
        <v>3.00555555555556</v>
      </c>
      <c r="C40" s="30" t="n">
        <f aca="false">EXP(INDEX(Bootstrap!$D$39:$D$59,MATCH($B40,Bootstrap!$B$39:$B$59,1))+(INDEX(Bootstrap!$D$39:$D$59,MATCH($B40,Bootstrap!$B$39:$B$59,1)+1)-INDEX(Bootstrap!$D$39:$D$59,MATCH($B40,Bootstrap!$B$39:$B$59,1)))*(($B40)-INDEX(Bootstrap!$B$39:$B$59,MATCH($B40,Bootstrap!$B$39:$B$59,1)))/(INDEX(Bootstrap!$B$39:$B$59,MATCH($B40,Bootstrap!$B$39:$B$59,1)+1)-INDEX(Bootstrap!$B$39:$B$59,MATCH($B40,Bootstrap!$B$39:$B$59,1))))</f>
        <v>0.890637515925926</v>
      </c>
      <c r="D40" s="30" t="n">
        <f aca="false">MarketData!$B$86</f>
        <v>0.890970298</v>
      </c>
      <c r="E40" s="31" t="n">
        <f aca="false">(LN(D40)-LN(C40))/B40*10000</f>
        <v>1.24294827536894</v>
      </c>
      <c r="F40" s="19" t="n">
        <f aca="false">A41</f>
        <v>47289</v>
      </c>
      <c r="G40" s="21" t="n">
        <f aca="false">(F40-A40)/360</f>
        <v>0.0833333333333333</v>
      </c>
      <c r="H40" s="19" t="n">
        <f aca="false">WORKDAY(A40,-5)</f>
        <v>47252</v>
      </c>
      <c r="I40" s="19" t="n">
        <f aca="false">WORKDAY(F40,-5)</f>
        <v>47282</v>
      </c>
      <c r="J40" s="18" t="n">
        <f aca="false">EXP(INDEX(Bootstrap!$D$39:$D$59,MATCH((($H40-MarketData!$B$4)/360),Bootstrap!$B$39:$B$59,1))+(INDEX(Bootstrap!$D$39:$D$59,MATCH((($H40-MarketData!$B$4)/360),Bootstrap!$B$39:$B$59,1)+1)-INDEX(Bootstrap!$D$39:$D$59,MATCH((($H40-MarketData!$B$4)/360),Bootstrap!$B$39:$B$59,1)))*(((($H40-MarketData!$B$4)/360))-INDEX(Bootstrap!$B$39:$B$59,MATCH((($H40-MarketData!$B$4)/360),Bootstrap!$B$39:$B$59,1)))/(INDEX(Bootstrap!$B$39:$B$59,MATCH((($H40-MarketData!$B$4)/360),Bootstrap!$B$39:$B$59,1)+1)-INDEX(Bootstrap!$B$39:$B$59,MATCH((($H40-MarketData!$B$4)/360),Bootstrap!$B$39:$B$59,1))))</f>
        <v>0.891297178571735</v>
      </c>
      <c r="K40" s="18" t="n">
        <f aca="false">EXP(INDEX(Bootstrap!$D$39:$D$59,MATCH((($I40-MarketData!$B$4)/360),Bootstrap!$B$39:$B$59,1))+(INDEX(Bootstrap!$D$39:$D$59,MATCH((($I40-MarketData!$B$4)/360),Bootstrap!$B$39:$B$59,1)+1)-INDEX(Bootstrap!$D$39:$D$59,MATCH((($I40-MarketData!$B$4)/360),Bootstrap!$B$39:$B$59,1)))*(((($I40-MarketData!$B$4)/360))-INDEX(Bootstrap!$B$39:$B$59,MATCH((($I40-MarketData!$B$4)/360),Bootstrap!$B$39:$B$59,1)))/(INDEX(Bootstrap!$B$39:$B$59,MATCH((($I40-MarketData!$B$4)/360),Bootstrap!$B$39:$B$59,1)+1)-INDEX(Bootstrap!$B$39:$B$59,MATCH((($I40-MarketData!$B$4)/360),Bootstrap!$B$39:$B$59,1))))</f>
        <v>0.888473488521254</v>
      </c>
      <c r="L40" s="25" t="n">
        <f aca="false">(J40/K40-1)/G40</f>
        <v>0.0381376383691165</v>
      </c>
      <c r="M40" s="22" t="n">
        <f aca="false">MarketData!$C$86</f>
        <v>0.0381407875</v>
      </c>
      <c r="N40" s="31" t="n">
        <f aca="false">(L40-M40)*10000</f>
        <v>-0.0314913088345775</v>
      </c>
    </row>
    <row r="41" customFormat="false" ht="15" hidden="false" customHeight="false" outlineLevel="0" collapsed="false">
      <c r="A41" s="16" t="n">
        <f aca="false">MarketData!$A$87</f>
        <v>47289</v>
      </c>
      <c r="B41" s="21" t="n">
        <f aca="false">(A41-MarketData!$B$4)/360</f>
        <v>3.08888888888889</v>
      </c>
      <c r="C41" s="30" t="n">
        <f aca="false">EXP(INDEX(Bootstrap!$D$39:$D$59,MATCH($B41,Bootstrap!$B$39:$B$59,1))+(INDEX(Bootstrap!$D$39:$D$59,MATCH($B41,Bootstrap!$B$39:$B$59,1)+1)-INDEX(Bootstrap!$D$39:$D$59,MATCH($B41,Bootstrap!$B$39:$B$59,1)))*(($B41)-INDEX(Bootstrap!$B$39:$B$59,MATCH($B41,Bootstrap!$B$39:$B$59,1)))/(INDEX(Bootstrap!$B$39:$B$59,MATCH($B41,Bootstrap!$B$39:$B$59,1)+1)-INDEX(Bootstrap!$B$39:$B$59,MATCH($B41,Bootstrap!$B$39:$B$59,1))))</f>
        <v>0.88781591573155</v>
      </c>
      <c r="D41" s="30" t="n">
        <f aca="false">MarketData!$B$87</f>
        <v>0.888147217</v>
      </c>
      <c r="E41" s="31" t="n">
        <f aca="false">(LN(D41)-LN(C41))/B41*10000</f>
        <v>1.20786074440699</v>
      </c>
      <c r="F41" s="19" t="n">
        <f aca="false">A42</f>
        <v>47319</v>
      </c>
      <c r="G41" s="21" t="n">
        <f aca="false">(F41-A41)/360</f>
        <v>0.0833333333333333</v>
      </c>
      <c r="H41" s="19" t="n">
        <f aca="false">WORKDAY(A41,-5)</f>
        <v>47282</v>
      </c>
      <c r="I41" s="19" t="n">
        <f aca="false">WORKDAY(F41,-5)</f>
        <v>47312</v>
      </c>
      <c r="J41" s="18" t="n">
        <f aca="false">EXP(INDEX(Bootstrap!$D$39:$D$59,MATCH((($H41-MarketData!$B$4)/360),Bootstrap!$B$39:$B$59,1))+(INDEX(Bootstrap!$D$39:$D$59,MATCH((($H41-MarketData!$B$4)/360),Bootstrap!$B$39:$B$59,1)+1)-INDEX(Bootstrap!$D$39:$D$59,MATCH((($H41-MarketData!$B$4)/360),Bootstrap!$B$39:$B$59,1)))*(((($H41-MarketData!$B$4)/360))-INDEX(Bootstrap!$B$39:$B$59,MATCH((($H41-MarketData!$B$4)/360),Bootstrap!$B$39:$B$59,1)))/(INDEX(Bootstrap!$B$39:$B$59,MATCH((($H41-MarketData!$B$4)/360),Bootstrap!$B$39:$B$59,1)+1)-INDEX(Bootstrap!$B$39:$B$59,MATCH((($H41-MarketData!$B$4)/360),Bootstrap!$B$39:$B$59,1))))</f>
        <v>0.888473488521254</v>
      </c>
      <c r="K41" s="18" t="n">
        <f aca="false">EXP(INDEX(Bootstrap!$D$39:$D$59,MATCH((($I41-MarketData!$B$4)/360),Bootstrap!$B$39:$B$59,1))+(INDEX(Bootstrap!$D$39:$D$59,MATCH((($I41-MarketData!$B$4)/360),Bootstrap!$B$39:$B$59,1)+1)-INDEX(Bootstrap!$D$39:$D$59,MATCH((($I41-MarketData!$B$4)/360),Bootstrap!$B$39:$B$59,1)))*(((($I41-MarketData!$B$4)/360))-INDEX(Bootstrap!$B$39:$B$59,MATCH((($I41-MarketData!$B$4)/360),Bootstrap!$B$39:$B$59,1)))/(INDEX(Bootstrap!$B$39:$B$59,MATCH((($I41-MarketData!$B$4)/360),Bootstrap!$B$39:$B$59,1)+1)-INDEX(Bootstrap!$B$39:$B$59,MATCH((($I41-MarketData!$B$4)/360),Bootstrap!$B$39:$B$59,1))))</f>
        <v>0.885676463992253</v>
      </c>
      <c r="L41" s="25" t="n">
        <f aca="false">(J41/K41-1)/G41</f>
        <v>0.0378967893046589</v>
      </c>
      <c r="M41" s="22" t="n">
        <f aca="false">MarketData!$C$87</f>
        <v>0.0380322712</v>
      </c>
      <c r="N41" s="31" t="n">
        <f aca="false">(L41-M41)*10000</f>
        <v>-1.35481895341107</v>
      </c>
    </row>
    <row r="42" customFormat="false" ht="15" hidden="false" customHeight="false" outlineLevel="0" collapsed="false">
      <c r="A42" s="16" t="n">
        <f aca="false">MarketData!$A$88</f>
        <v>47319</v>
      </c>
      <c r="B42" s="21" t="n">
        <f aca="false">(A42-MarketData!$B$4)/360</f>
        <v>3.17222222222222</v>
      </c>
      <c r="C42" s="30" t="n">
        <f aca="false">EXP(INDEX(Bootstrap!$D$39:$D$59,MATCH($B42,Bootstrap!$B$39:$B$59,1))+(INDEX(Bootstrap!$D$39:$D$59,MATCH($B42,Bootstrap!$B$39:$B$59,1)+1)-INDEX(Bootstrap!$D$39:$D$59,MATCH($B42,Bootstrap!$B$39:$B$59,1)))*(($B42)-INDEX(Bootstrap!$B$39:$B$59,MATCH($B42,Bootstrap!$B$39:$B$59,1)))/(INDEX(Bootstrap!$B$39:$B$59,MATCH($B42,Bootstrap!$B$39:$B$59,1)+1)-INDEX(Bootstrap!$B$39:$B$59,MATCH($B42,Bootstrap!$B$39:$B$59,1))))</f>
        <v>0.885026350408754</v>
      </c>
      <c r="D42" s="30" t="n">
        <f aca="false">MarketData!$B$88</f>
        <v>0.885343454</v>
      </c>
      <c r="E42" s="31" t="n">
        <f aca="false">(LN(D42)-LN(C42))/B42*10000</f>
        <v>1.12928501169475</v>
      </c>
      <c r="F42" s="19" t="n">
        <f aca="false">A43</f>
        <v>47350</v>
      </c>
      <c r="G42" s="21" t="n">
        <f aca="false">(F42-A42)/360</f>
        <v>0.0861111111111111</v>
      </c>
      <c r="H42" s="19" t="n">
        <f aca="false">WORKDAY(A42,-5)</f>
        <v>47312</v>
      </c>
      <c r="I42" s="19" t="n">
        <f aca="false">WORKDAY(F42,-5)</f>
        <v>47343</v>
      </c>
      <c r="J42" s="18" t="n">
        <f aca="false">EXP(INDEX(Bootstrap!$D$39:$D$59,MATCH((($H42-MarketData!$B$4)/360),Bootstrap!$B$39:$B$59,1))+(INDEX(Bootstrap!$D$39:$D$59,MATCH((($H42-MarketData!$B$4)/360),Bootstrap!$B$39:$B$59,1)+1)-INDEX(Bootstrap!$D$39:$D$59,MATCH((($H42-MarketData!$B$4)/360),Bootstrap!$B$39:$B$59,1)))*(((($H42-MarketData!$B$4)/360))-INDEX(Bootstrap!$B$39:$B$59,MATCH((($H42-MarketData!$B$4)/360),Bootstrap!$B$39:$B$59,1)))/(INDEX(Bootstrap!$B$39:$B$59,MATCH((($H42-MarketData!$B$4)/360),Bootstrap!$B$39:$B$59,1)+1)-INDEX(Bootstrap!$B$39:$B$59,MATCH((($H42-MarketData!$B$4)/360),Bootstrap!$B$39:$B$59,1))))</f>
        <v>0.885676463992253</v>
      </c>
      <c r="K42" s="18" t="n">
        <f aca="false">EXP(INDEX(Bootstrap!$D$39:$D$59,MATCH((($I42-MarketData!$B$4)/360),Bootstrap!$B$39:$B$59,1))+(INDEX(Bootstrap!$D$39:$D$59,MATCH((($I42-MarketData!$B$4)/360),Bootstrap!$B$39:$B$59,1)+1)-INDEX(Bootstrap!$D$39:$D$59,MATCH((($I42-MarketData!$B$4)/360),Bootstrap!$B$39:$B$59,1)))*(((($I42-MarketData!$B$4)/360))-INDEX(Bootstrap!$B$39:$B$59,MATCH((($I42-MarketData!$B$4)/360),Bootstrap!$B$39:$B$59,1)))/(INDEX(Bootstrap!$B$39:$B$59,MATCH((($I42-MarketData!$B$4)/360),Bootstrap!$B$39:$B$59,1)+1)-INDEX(Bootstrap!$B$39:$B$59,MATCH((($I42-MarketData!$B$4)/360),Bootstrap!$B$39:$B$59,1))))</f>
        <v>0.882801010247887</v>
      </c>
      <c r="L42" s="25" t="n">
        <f aca="false">(J42/K42-1)/G42</f>
        <v>0.0378254733240773</v>
      </c>
      <c r="M42" s="22" t="n">
        <f aca="false">MarketData!$C$88</f>
        <v>0.0380325176</v>
      </c>
      <c r="N42" s="31" t="n">
        <f aca="false">(L42-M42)*10000</f>
        <v>-2.07044275922719</v>
      </c>
    </row>
    <row r="43" customFormat="false" ht="15" hidden="false" customHeight="false" outlineLevel="0" collapsed="false">
      <c r="A43" s="16" t="n">
        <f aca="false">MarketData!$A$89</f>
        <v>47350</v>
      </c>
      <c r="B43" s="21" t="n">
        <f aca="false">(A43-MarketData!$B$4)/360</f>
        <v>3.25833333333333</v>
      </c>
      <c r="C43" s="30" t="n">
        <f aca="false">EXP(INDEX(Bootstrap!$D$39:$D$59,MATCH($B43,Bootstrap!$B$39:$B$59,1))+(INDEX(Bootstrap!$D$39:$D$59,MATCH($B43,Bootstrap!$B$39:$B$59,1)+1)-INDEX(Bootstrap!$D$39:$D$59,MATCH($B43,Bootstrap!$B$39:$B$59,1)))*(($B43)-INDEX(Bootstrap!$B$39:$B$59,MATCH($B43,Bootstrap!$B$39:$B$59,1)))/(INDEX(Bootstrap!$B$39:$B$59,MATCH($B43,Bootstrap!$B$39:$B$59,1)+1)-INDEX(Bootstrap!$B$39:$B$59,MATCH($B43,Bootstrap!$B$39:$B$59,1))))</f>
        <v>0.882153007335287</v>
      </c>
      <c r="D43" s="30" t="n">
        <f aca="false">MarketData!$B$89</f>
        <v>0.882452636</v>
      </c>
      <c r="E43" s="31" t="n">
        <f aca="false">(LN(D43)-LN(C43))/B43*10000</f>
        <v>1.0422458716512</v>
      </c>
      <c r="F43" s="19" t="n">
        <f aca="false">A44</f>
        <v>47381</v>
      </c>
      <c r="G43" s="21" t="n">
        <f aca="false">(F43-A43)/360</f>
        <v>0.0861111111111111</v>
      </c>
      <c r="H43" s="19" t="n">
        <f aca="false">WORKDAY(A43,-5)</f>
        <v>47343</v>
      </c>
      <c r="I43" s="19" t="n">
        <f aca="false">WORKDAY(F43,-5)</f>
        <v>47374</v>
      </c>
      <c r="J43" s="18" t="n">
        <f aca="false">EXP(INDEX(Bootstrap!$D$39:$D$59,MATCH((($H43-MarketData!$B$4)/360),Bootstrap!$B$39:$B$59,1))+(INDEX(Bootstrap!$D$39:$D$59,MATCH((($H43-MarketData!$B$4)/360),Bootstrap!$B$39:$B$59,1)+1)-INDEX(Bootstrap!$D$39:$D$59,MATCH((($H43-MarketData!$B$4)/360),Bootstrap!$B$39:$B$59,1)))*(((($H43-MarketData!$B$4)/360))-INDEX(Bootstrap!$B$39:$B$59,MATCH((($H43-MarketData!$B$4)/360),Bootstrap!$B$39:$B$59,1)))/(INDEX(Bootstrap!$B$39:$B$59,MATCH((($H43-MarketData!$B$4)/360),Bootstrap!$B$39:$B$59,1)+1)-INDEX(Bootstrap!$B$39:$B$59,MATCH((($H43-MarketData!$B$4)/360),Bootstrap!$B$39:$B$59,1))))</f>
        <v>0.882801010247887</v>
      </c>
      <c r="K43" s="18" t="n">
        <f aca="false">EXP(INDEX(Bootstrap!$D$39:$D$59,MATCH((($I43-MarketData!$B$4)/360),Bootstrap!$B$39:$B$59,1))+(INDEX(Bootstrap!$D$39:$D$59,MATCH((($I43-MarketData!$B$4)/360),Bootstrap!$B$39:$B$59,1)+1)-INDEX(Bootstrap!$D$39:$D$59,MATCH((($I43-MarketData!$B$4)/360),Bootstrap!$B$39:$B$59,1)))*(((($I43-MarketData!$B$4)/360))-INDEX(Bootstrap!$B$39:$B$59,MATCH((($I43-MarketData!$B$4)/360),Bootstrap!$B$39:$B$59,1)))/(INDEX(Bootstrap!$B$39:$B$59,MATCH((($I43-MarketData!$B$4)/360),Bootstrap!$B$39:$B$59,1)+1)-INDEX(Bootstrap!$B$39:$B$59,MATCH((($I43-MarketData!$B$4)/360),Bootstrap!$B$39:$B$59,1))))</f>
        <v>0.879934892005336</v>
      </c>
      <c r="L43" s="25" t="n">
        <f aca="false">(J43/K43-1)/G43</f>
        <v>0.0378254733240773</v>
      </c>
      <c r="M43" s="22" t="n">
        <f aca="false">MarketData!$C$89</f>
        <v>0.0380761541</v>
      </c>
      <c r="N43" s="31" t="n">
        <f aca="false">(L43-M43)*10000</f>
        <v>-2.50680775922718</v>
      </c>
    </row>
    <row r="44" customFormat="false" ht="15" hidden="false" customHeight="false" outlineLevel="0" collapsed="false">
      <c r="A44" s="16" t="n">
        <f aca="false">MarketData!$A$90</f>
        <v>47381</v>
      </c>
      <c r="B44" s="21" t="n">
        <f aca="false">(A44-MarketData!$B$4)/360</f>
        <v>3.34444444444444</v>
      </c>
      <c r="C44" s="30" t="n">
        <f aca="false">EXP(INDEX(Bootstrap!$D$39:$D$59,MATCH($B44,Bootstrap!$B$39:$B$59,1))+(INDEX(Bootstrap!$D$39:$D$59,MATCH($B44,Bootstrap!$B$39:$B$59,1)+1)-INDEX(Bootstrap!$D$39:$D$59,MATCH($B44,Bootstrap!$B$39:$B$59,1)))*(($B44)-INDEX(Bootstrap!$B$39:$B$59,MATCH($B44,Bootstrap!$B$39:$B$59,1)))/(INDEX(Bootstrap!$B$39:$B$59,MATCH($B44,Bootstrap!$B$39:$B$59,1)+1)-INDEX(Bootstrap!$B$39:$B$59,MATCH($B44,Bootstrap!$B$39:$B$59,1))))</f>
        <v>0.87928899291109</v>
      </c>
      <c r="D44" s="30" t="n">
        <f aca="false">MarketData!$B$90</f>
        <v>0.879567884</v>
      </c>
      <c r="E44" s="31" t="n">
        <f aca="false">(LN(D44)-LN(C44))/B44*10000</f>
        <v>0.948222267837724</v>
      </c>
      <c r="F44" s="19" t="n">
        <f aca="false">A45</f>
        <v>47413</v>
      </c>
      <c r="G44" s="21" t="n">
        <f aca="false">(F44-A44)/360</f>
        <v>0.0888888888888889</v>
      </c>
      <c r="H44" s="19" t="n">
        <f aca="false">WORKDAY(A44,-5)</f>
        <v>47374</v>
      </c>
      <c r="I44" s="19" t="n">
        <f aca="false">WORKDAY(F44,-5)</f>
        <v>47406</v>
      </c>
      <c r="J44" s="18" t="n">
        <f aca="false">EXP(INDEX(Bootstrap!$D$39:$D$59,MATCH((($H44-MarketData!$B$4)/360),Bootstrap!$B$39:$B$59,1))+(INDEX(Bootstrap!$D$39:$D$59,MATCH((($H44-MarketData!$B$4)/360),Bootstrap!$B$39:$B$59,1)+1)-INDEX(Bootstrap!$D$39:$D$59,MATCH((($H44-MarketData!$B$4)/360),Bootstrap!$B$39:$B$59,1)))*(((($H44-MarketData!$B$4)/360))-INDEX(Bootstrap!$B$39:$B$59,MATCH((($H44-MarketData!$B$4)/360),Bootstrap!$B$39:$B$59,1)))/(INDEX(Bootstrap!$B$39:$B$59,MATCH((($H44-MarketData!$B$4)/360),Bootstrap!$B$39:$B$59,1)+1)-INDEX(Bootstrap!$B$39:$B$59,MATCH((($H44-MarketData!$B$4)/360),Bootstrap!$B$39:$B$59,1))))</f>
        <v>0.879934892005336</v>
      </c>
      <c r="K44" s="18" t="n">
        <f aca="false">EXP(INDEX(Bootstrap!$D$39:$D$59,MATCH((($I44-MarketData!$B$4)/360),Bootstrap!$B$39:$B$59,1))+(INDEX(Bootstrap!$D$39:$D$59,MATCH((($I44-MarketData!$B$4)/360),Bootstrap!$B$39:$B$59,1)+1)-INDEX(Bootstrap!$D$39:$D$59,MATCH((($I44-MarketData!$B$4)/360),Bootstrap!$B$39:$B$59,1)))*(((($I44-MarketData!$B$4)/360))-INDEX(Bootstrap!$B$39:$B$59,MATCH((($I44-MarketData!$B$4)/360),Bootstrap!$B$39:$B$59,1)))/(INDEX(Bootstrap!$B$39:$B$59,MATCH((($I44-MarketData!$B$4)/360),Bootstrap!$B$39:$B$59,1)+1)-INDEX(Bootstrap!$B$39:$B$59,MATCH((($I44-MarketData!$B$4)/360),Bootstrap!$B$39:$B$59,1))))</f>
        <v>0.876986078280291</v>
      </c>
      <c r="L44" s="25" t="n">
        <f aca="false">(J44/K44-1)/G44</f>
        <v>0.037827458415077</v>
      </c>
      <c r="M44" s="22" t="n">
        <f aca="false">MarketData!$C$90</f>
        <v>0.0381235944</v>
      </c>
      <c r="N44" s="31" t="n">
        <f aca="false">(L44-M44)*10000</f>
        <v>-2.96135984922993</v>
      </c>
    </row>
    <row r="45" customFormat="false" ht="15" hidden="false" customHeight="false" outlineLevel="0" collapsed="false">
      <c r="A45" s="16" t="n">
        <f aca="false">MarketData!$A$91</f>
        <v>47413</v>
      </c>
      <c r="B45" s="21" t="n">
        <f aca="false">(A45-MarketData!$B$4)/360</f>
        <v>3.43333333333333</v>
      </c>
      <c r="C45" s="30" t="n">
        <f aca="false">EXP(INDEX(Bootstrap!$D$39:$D$59,MATCH($B45,Bootstrap!$B$39:$B$59,1))+(INDEX(Bootstrap!$D$39:$D$59,MATCH($B45,Bootstrap!$B$39:$B$59,1)+1)-INDEX(Bootstrap!$D$39:$D$59,MATCH($B45,Bootstrap!$B$39:$B$59,1)))*(($B45)-INDEX(Bootstrap!$B$39:$B$59,MATCH($B45,Bootstrap!$B$39:$B$59,1)))/(INDEX(Bootstrap!$B$39:$B$59,MATCH($B45,Bootstrap!$B$39:$B$59,1)+1)-INDEX(Bootstrap!$B$39:$B$59,MATCH($B45,Bootstrap!$B$39:$B$59,1))))</f>
        <v>0.876342343705411</v>
      </c>
      <c r="D45" s="30" t="n">
        <f aca="false">MarketData!$B$91</f>
        <v>0.876596441</v>
      </c>
      <c r="E45" s="31" t="n">
        <f aca="false">(LN(D45)-LN(C45))/B45*10000</f>
        <v>0.844398240463967</v>
      </c>
      <c r="F45" s="19" t="n">
        <f aca="false">A46</f>
        <v>47442</v>
      </c>
      <c r="G45" s="21" t="n">
        <f aca="false">(F45-A45)/360</f>
        <v>0.0805555555555556</v>
      </c>
      <c r="H45" s="19" t="n">
        <f aca="false">WORKDAY(A45,-5)</f>
        <v>47406</v>
      </c>
      <c r="I45" s="19" t="n">
        <f aca="false">WORKDAY(F45,-5)</f>
        <v>47435</v>
      </c>
      <c r="J45" s="18" t="n">
        <f aca="false">EXP(INDEX(Bootstrap!$D$39:$D$59,MATCH((($H45-MarketData!$B$4)/360),Bootstrap!$B$39:$B$59,1))+(INDEX(Bootstrap!$D$39:$D$59,MATCH((($H45-MarketData!$B$4)/360),Bootstrap!$B$39:$B$59,1)+1)-INDEX(Bootstrap!$D$39:$D$59,MATCH((($H45-MarketData!$B$4)/360),Bootstrap!$B$39:$B$59,1)))*(((($H45-MarketData!$B$4)/360))-INDEX(Bootstrap!$B$39:$B$59,MATCH((($H45-MarketData!$B$4)/360),Bootstrap!$B$39:$B$59,1)))/(INDEX(Bootstrap!$B$39:$B$59,MATCH((($H45-MarketData!$B$4)/360),Bootstrap!$B$39:$B$59,1)+1)-INDEX(Bootstrap!$B$39:$B$59,MATCH((($H45-MarketData!$B$4)/360),Bootstrap!$B$39:$B$59,1))))</f>
        <v>0.876986078280291</v>
      </c>
      <c r="K45" s="18" t="n">
        <f aca="false">EXP(INDEX(Bootstrap!$D$39:$D$59,MATCH((($I45-MarketData!$B$4)/360),Bootstrap!$B$39:$B$59,1))+(INDEX(Bootstrap!$D$39:$D$59,MATCH((($I45-MarketData!$B$4)/360),Bootstrap!$B$39:$B$59,1)+1)-INDEX(Bootstrap!$D$39:$D$59,MATCH((($I45-MarketData!$B$4)/360),Bootstrap!$B$39:$B$59,1)))*(((($I45-MarketData!$B$4)/360))-INDEX(Bootstrap!$B$39:$B$59,MATCH((($I45-MarketData!$B$4)/360),Bootstrap!$B$39:$B$59,1)))/(INDEX(Bootstrap!$B$39:$B$59,MATCH((($I45-MarketData!$B$4)/360),Bootstrap!$B$39:$B$59,1)+1)-INDEX(Bootstrap!$B$39:$B$59,MATCH((($I45-MarketData!$B$4)/360),Bootstrap!$B$39:$B$59,1))))</f>
        <v>0.874322252493241</v>
      </c>
      <c r="L45" s="25" t="n">
        <f aca="false">(J45/K45-1)/G45</f>
        <v>0.0378215035586381</v>
      </c>
      <c r="M45" s="22" t="n">
        <f aca="false">MarketData!$C$91</f>
        <v>0.0381613834</v>
      </c>
      <c r="N45" s="31" t="n">
        <f aca="false">(L45-M45)*10000</f>
        <v>-3.39879841361891</v>
      </c>
    </row>
    <row r="46" customFormat="false" ht="15" hidden="false" customHeight="false" outlineLevel="0" collapsed="false">
      <c r="A46" s="16" t="n">
        <f aca="false">MarketData!$A$92</f>
        <v>47442</v>
      </c>
      <c r="B46" s="21" t="n">
        <f aca="false">(A46-MarketData!$B$4)/360</f>
        <v>3.51388888888889</v>
      </c>
      <c r="C46" s="30" t="n">
        <f aca="false">EXP(INDEX(Bootstrap!$D$39:$D$59,MATCH($B46,Bootstrap!$B$39:$B$59,1))+(INDEX(Bootstrap!$D$39:$D$59,MATCH($B46,Bootstrap!$B$39:$B$59,1)+1)-INDEX(Bootstrap!$D$39:$D$59,MATCH($B46,Bootstrap!$B$39:$B$59,1)))*(($B46)-INDEX(Bootstrap!$B$39:$B$59,MATCH($B46,Bootstrap!$B$39:$B$59,1)))/(INDEX(Bootstrap!$B$39:$B$59,MATCH($B46,Bootstrap!$B$39:$B$59,1)+1)-INDEX(Bootstrap!$B$39:$B$59,MATCH($B46,Bootstrap!$B$39:$B$59,1))))</f>
        <v>0.873680473247873</v>
      </c>
      <c r="D46" s="30" t="n">
        <f aca="false">MarketData!$B$92</f>
        <v>0.873909159</v>
      </c>
      <c r="E46" s="31" t="n">
        <f aca="false">(LN(D46)-LN(C46))/B46*10000</f>
        <v>0.744803349940261</v>
      </c>
      <c r="F46" s="19" t="n">
        <f aca="false">A47</f>
        <v>47472</v>
      </c>
      <c r="G46" s="21" t="n">
        <f aca="false">(F46-A46)/360</f>
        <v>0.0833333333333333</v>
      </c>
      <c r="H46" s="19" t="n">
        <f aca="false">WORKDAY(A46,-5)</f>
        <v>47435</v>
      </c>
      <c r="I46" s="19" t="n">
        <f aca="false">WORKDAY(F46,-5)</f>
        <v>47465</v>
      </c>
      <c r="J46" s="18" t="n">
        <f aca="false">EXP(INDEX(Bootstrap!$D$39:$D$59,MATCH((($H46-MarketData!$B$4)/360),Bootstrap!$B$39:$B$59,1))+(INDEX(Bootstrap!$D$39:$D$59,MATCH((($H46-MarketData!$B$4)/360),Bootstrap!$B$39:$B$59,1)+1)-INDEX(Bootstrap!$D$39:$D$59,MATCH((($H46-MarketData!$B$4)/360),Bootstrap!$B$39:$B$59,1)))*(((($H46-MarketData!$B$4)/360))-INDEX(Bootstrap!$B$39:$B$59,MATCH((($H46-MarketData!$B$4)/360),Bootstrap!$B$39:$B$59,1)))/(INDEX(Bootstrap!$B$39:$B$59,MATCH((($H46-MarketData!$B$4)/360),Bootstrap!$B$39:$B$59,1)+1)-INDEX(Bootstrap!$B$39:$B$59,MATCH((($H46-MarketData!$B$4)/360),Bootstrap!$B$39:$B$59,1))))</f>
        <v>0.874322252493241</v>
      </c>
      <c r="K46" s="18" t="n">
        <f aca="false">EXP(INDEX(Bootstrap!$D$39:$D$59,MATCH((($I46-MarketData!$B$4)/360),Bootstrap!$B$39:$B$59,1))+(INDEX(Bootstrap!$D$39:$D$59,MATCH((($I46-MarketData!$B$4)/360),Bootstrap!$B$39:$B$59,1)+1)-INDEX(Bootstrap!$D$39:$D$59,MATCH((($I46-MarketData!$B$4)/360),Bootstrap!$B$39:$B$59,1)))*(((($I46-MarketData!$B$4)/360))-INDEX(Bootstrap!$B$39:$B$59,MATCH((($I46-MarketData!$B$4)/360),Bootstrap!$B$39:$B$59,1)))/(INDEX(Bootstrap!$B$39:$B$59,MATCH((($I46-MarketData!$B$4)/360),Bootstrap!$B$39:$B$59,1)+1)-INDEX(Bootstrap!$B$39:$B$59,MATCH((($I46-MarketData!$B$4)/360),Bootstrap!$B$39:$B$59,1))))</f>
        <v>0.871575084985556</v>
      </c>
      <c r="L46" s="25" t="n">
        <f aca="false">(J46/K46-1)/G46</f>
        <v>0.0378234883719353</v>
      </c>
      <c r="M46" s="22" t="n">
        <f aca="false">MarketData!$C$92</f>
        <v>0.0382061303</v>
      </c>
      <c r="N46" s="31" t="n">
        <f aca="false">(L46-M46)*10000</f>
        <v>-3.82641928064725</v>
      </c>
    </row>
    <row r="47" customFormat="false" ht="15" hidden="false" customHeight="false" outlineLevel="0" collapsed="false">
      <c r="A47" s="16" t="n">
        <f aca="false">MarketData!$A$93</f>
        <v>47472</v>
      </c>
      <c r="B47" s="21" t="n">
        <f aca="false">(A47-MarketData!$B$4)/360</f>
        <v>3.59722222222222</v>
      </c>
      <c r="C47" s="30" t="n">
        <f aca="false">EXP(INDEX(Bootstrap!$D$39:$D$59,MATCH($B47,Bootstrap!$B$39:$B$59,1))+(INDEX(Bootstrap!$D$39:$D$59,MATCH($B47,Bootstrap!$B$39:$B$59,1)+1)-INDEX(Bootstrap!$D$39:$D$59,MATCH($B47,Bootstrap!$B$39:$B$59,1)))*(($B47)-INDEX(Bootstrap!$B$39:$B$59,MATCH($B47,Bootstrap!$B$39:$B$59,1)))/(INDEX(Bootstrap!$B$39:$B$59,MATCH($B47,Bootstrap!$B$39:$B$59,1)+1)-INDEX(Bootstrap!$B$39:$B$59,MATCH($B47,Bootstrap!$B$39:$B$59,1))))</f>
        <v>0.87093532224507</v>
      </c>
      <c r="D47" s="30" t="n">
        <f aca="false">MarketData!$B$93</f>
        <v>0.871134804</v>
      </c>
      <c r="E47" s="31" t="n">
        <f aca="false">(LN(D47)-LN(C47))/B47*10000</f>
        <v>0.636649315982322</v>
      </c>
      <c r="F47" s="19" t="n">
        <f aca="false">A48</f>
        <v>47505</v>
      </c>
      <c r="G47" s="21" t="n">
        <f aca="false">(F47-A47)/360</f>
        <v>0.0916666666666667</v>
      </c>
      <c r="H47" s="19" t="n">
        <f aca="false">WORKDAY(A47,-5)</f>
        <v>47465</v>
      </c>
      <c r="I47" s="19" t="n">
        <f aca="false">WORKDAY(F47,-5)</f>
        <v>47498</v>
      </c>
      <c r="J47" s="18" t="n">
        <f aca="false">EXP(INDEX(Bootstrap!$D$39:$D$59,MATCH((($H47-MarketData!$B$4)/360),Bootstrap!$B$39:$B$59,1))+(INDEX(Bootstrap!$D$39:$D$59,MATCH((($H47-MarketData!$B$4)/360),Bootstrap!$B$39:$B$59,1)+1)-INDEX(Bootstrap!$D$39:$D$59,MATCH((($H47-MarketData!$B$4)/360),Bootstrap!$B$39:$B$59,1)))*(((($H47-MarketData!$B$4)/360))-INDEX(Bootstrap!$B$39:$B$59,MATCH((($H47-MarketData!$B$4)/360),Bootstrap!$B$39:$B$59,1)))/(INDEX(Bootstrap!$B$39:$B$59,MATCH((($H47-MarketData!$B$4)/360),Bootstrap!$B$39:$B$59,1)+1)-INDEX(Bootstrap!$B$39:$B$59,MATCH((($H47-MarketData!$B$4)/360),Bootstrap!$B$39:$B$59,1))))</f>
        <v>0.871575084985556</v>
      </c>
      <c r="K47" s="18" t="n">
        <f aca="false">EXP(INDEX(Bootstrap!$D$39:$D$59,MATCH((($I47-MarketData!$B$4)/360),Bootstrap!$B$39:$B$59,1))+(INDEX(Bootstrap!$D$39:$D$59,MATCH((($I47-MarketData!$B$4)/360),Bootstrap!$B$39:$B$59,1)+1)-INDEX(Bootstrap!$D$39:$D$59,MATCH((($I47-MarketData!$B$4)/360),Bootstrap!$B$39:$B$59,1)))*(((($I47-MarketData!$B$4)/360))-INDEX(Bootstrap!$B$39:$B$59,MATCH((($I47-MarketData!$B$4)/360),Bootstrap!$B$39:$B$59,1)))/(INDEX(Bootstrap!$B$39:$B$59,MATCH((($I47-MarketData!$B$4)/360),Bootstrap!$B$39:$B$59,1)+1)-INDEX(Bootstrap!$B$39:$B$59,MATCH((($I47-MarketData!$B$4)/360),Bootstrap!$B$39:$B$59,1))))</f>
        <v>0.868563169351077</v>
      </c>
      <c r="L47" s="25" t="n">
        <f aca="false">(J47/K47-1)/G47</f>
        <v>0.0378294436449433</v>
      </c>
      <c r="M47" s="22" t="n">
        <f aca="false">MarketData!$C$93</f>
        <v>0.0382565813</v>
      </c>
      <c r="N47" s="31" t="n">
        <f aca="false">(L47-M47)*10000</f>
        <v>-4.27137655056663</v>
      </c>
    </row>
    <row r="48" customFormat="false" ht="15" hidden="false" customHeight="false" outlineLevel="0" collapsed="false">
      <c r="A48" s="16" t="n">
        <f aca="false">MarketData!$A$94</f>
        <v>47505</v>
      </c>
      <c r="B48" s="21" t="n">
        <f aca="false">(A48-MarketData!$B$4)/360</f>
        <v>3.68888888888889</v>
      </c>
      <c r="C48" s="30" t="n">
        <f aca="false">EXP(INDEX(Bootstrap!$D$39:$D$59,MATCH($B48,Bootstrap!$B$39:$B$59,1))+(INDEX(Bootstrap!$D$39:$D$59,MATCH($B48,Bootstrap!$B$39:$B$59,1)+1)-INDEX(Bootstrap!$D$39:$D$59,MATCH($B48,Bootstrap!$B$39:$B$59,1)))*(($B48)-INDEX(Bootstrap!$B$39:$B$59,MATCH($B48,Bootstrap!$B$39:$B$59,1)))/(INDEX(Bootstrap!$B$39:$B$59,MATCH($B48,Bootstrap!$B$39:$B$59,1)+1)-INDEX(Bootstrap!$B$39:$B$59,MATCH($B48,Bootstrap!$B$39:$B$59,1))))</f>
        <v>0.867925617448686</v>
      </c>
      <c r="D48" s="30" t="n">
        <f aca="false">MarketData!$B$94</f>
        <v>0.868089586</v>
      </c>
      <c r="E48" s="31" t="n">
        <f aca="false">(LN(D48)-LN(C48))/B48*10000</f>
        <v>0.512084296531396</v>
      </c>
      <c r="F48" s="19" t="n">
        <f aca="false">A49</f>
        <v>47534</v>
      </c>
      <c r="G48" s="21" t="n">
        <f aca="false">(F48-A48)/360</f>
        <v>0.0805555555555556</v>
      </c>
      <c r="H48" s="19" t="n">
        <f aca="false">WORKDAY(A48,-5)</f>
        <v>47498</v>
      </c>
      <c r="I48" s="19" t="n">
        <f aca="false">WORKDAY(F48,-5)</f>
        <v>47527</v>
      </c>
      <c r="J48" s="18" t="n">
        <f aca="false">EXP(INDEX(Bootstrap!$D$39:$D$59,MATCH((($H48-MarketData!$B$4)/360),Bootstrap!$B$39:$B$59,1))+(INDEX(Bootstrap!$D$39:$D$59,MATCH((($H48-MarketData!$B$4)/360),Bootstrap!$B$39:$B$59,1)+1)-INDEX(Bootstrap!$D$39:$D$59,MATCH((($H48-MarketData!$B$4)/360),Bootstrap!$B$39:$B$59,1)))*(((($H48-MarketData!$B$4)/360))-INDEX(Bootstrap!$B$39:$B$59,MATCH((($H48-MarketData!$B$4)/360),Bootstrap!$B$39:$B$59,1)))/(INDEX(Bootstrap!$B$39:$B$59,MATCH((($H48-MarketData!$B$4)/360),Bootstrap!$B$39:$B$59,1)+1)-INDEX(Bootstrap!$B$39:$B$59,MATCH((($H48-MarketData!$B$4)/360),Bootstrap!$B$39:$B$59,1))))</f>
        <v>0.868563169351077</v>
      </c>
      <c r="K48" s="18" t="n">
        <f aca="false">EXP(INDEX(Bootstrap!$D$39:$D$59,MATCH((($I48-MarketData!$B$4)/360),Bootstrap!$B$39:$B$59,1))+(INDEX(Bootstrap!$D$39:$D$59,MATCH((($I48-MarketData!$B$4)/360),Bootstrap!$B$39:$B$59,1)+1)-INDEX(Bootstrap!$D$39:$D$59,MATCH((($I48-MarketData!$B$4)/360),Bootstrap!$B$39:$B$59,1)))*(((($I48-MarketData!$B$4)/360))-INDEX(Bootstrap!$B$39:$B$59,MATCH((($I48-MarketData!$B$4)/360),Bootstrap!$B$39:$B$59,1)))/(INDEX(Bootstrap!$B$39:$B$59,MATCH((($I48-MarketData!$B$4)/360),Bootstrap!$B$39:$B$59,1)+1)-INDEX(Bootstrap!$B$39:$B$59,MATCH((($I48-MarketData!$B$4)/360),Bootstrap!$B$39:$B$59,1))))</f>
        <v>0.865924927963328</v>
      </c>
      <c r="L48" s="25" t="n">
        <f aca="false">(J48/K48-1)/G48</f>
        <v>0.0378215035586381</v>
      </c>
      <c r="M48" s="22" t="n">
        <f aca="false">MarketData!$C$94</f>
        <v>0.0382938797</v>
      </c>
      <c r="N48" s="31" t="n">
        <f aca="false">(L48-M48)*10000</f>
        <v>-4.72376141361891</v>
      </c>
    </row>
    <row r="49" customFormat="false" ht="15" hidden="false" customHeight="false" outlineLevel="0" collapsed="false">
      <c r="A49" s="16" t="n">
        <f aca="false">MarketData!$A$95</f>
        <v>47534</v>
      </c>
      <c r="B49" s="21" t="n">
        <f aca="false">(A49-MarketData!$B$4)/360</f>
        <v>3.76944444444444</v>
      </c>
      <c r="C49" s="30" t="n">
        <f aca="false">EXP(INDEX(Bootstrap!$D$39:$D$59,MATCH($B49,Bootstrap!$B$39:$B$59,1))+(INDEX(Bootstrap!$D$39:$D$59,MATCH($B49,Bootstrap!$B$39:$B$59,1)+1)-INDEX(Bootstrap!$D$39:$D$59,MATCH($B49,Bootstrap!$B$39:$B$59,1)))*(($B49)-INDEX(Bootstrap!$B$39:$B$59,MATCH($B49,Bootstrap!$B$39:$B$59,1)))/(INDEX(Bootstrap!$B$39:$B$59,MATCH($B49,Bootstrap!$B$39:$B$59,1)+1)-INDEX(Bootstrap!$B$39:$B$59,MATCH($B49,Bootstrap!$B$39:$B$59,1))))</f>
        <v>0.865289312610718</v>
      </c>
      <c r="D49" s="30" t="n">
        <f aca="false">MarketData!$B$95</f>
        <v>0.86541917</v>
      </c>
      <c r="E49" s="31" t="n">
        <f aca="false">(LN(D49)-LN(C49))/B49*10000</f>
        <v>0.398102948987406</v>
      </c>
      <c r="F49" s="19" t="n">
        <f aca="false">A50</f>
        <v>47562</v>
      </c>
      <c r="G49" s="21" t="n">
        <f aca="false">(F49-A49)/360</f>
        <v>0.0777777777777778</v>
      </c>
      <c r="H49" s="19" t="n">
        <f aca="false">WORKDAY(A49,-5)</f>
        <v>47527</v>
      </c>
      <c r="I49" s="19" t="n">
        <f aca="false">WORKDAY(F49,-5)</f>
        <v>47555</v>
      </c>
      <c r="J49" s="18" t="n">
        <f aca="false">EXP(INDEX(Bootstrap!$D$39:$D$59,MATCH((($H49-MarketData!$B$4)/360),Bootstrap!$B$39:$B$59,1))+(INDEX(Bootstrap!$D$39:$D$59,MATCH((($H49-MarketData!$B$4)/360),Bootstrap!$B$39:$B$59,1)+1)-INDEX(Bootstrap!$D$39:$D$59,MATCH((($H49-MarketData!$B$4)/360),Bootstrap!$B$39:$B$59,1)))*(((($H49-MarketData!$B$4)/360))-INDEX(Bootstrap!$B$39:$B$59,MATCH((($H49-MarketData!$B$4)/360),Bootstrap!$B$39:$B$59,1)))/(INDEX(Bootstrap!$B$39:$B$59,MATCH((($H49-MarketData!$B$4)/360),Bootstrap!$B$39:$B$59,1)+1)-INDEX(Bootstrap!$B$39:$B$59,MATCH((($H49-MarketData!$B$4)/360),Bootstrap!$B$39:$B$59,1))))</f>
        <v>0.865924927963328</v>
      </c>
      <c r="K49" s="18" t="n">
        <f aca="false">EXP(INDEX(Bootstrap!$D$39:$D$59,MATCH((($I49-MarketData!$B$4)/360),Bootstrap!$B$39:$B$59,1))+(INDEX(Bootstrap!$D$39:$D$59,MATCH((($I49-MarketData!$B$4)/360),Bootstrap!$B$39:$B$59,1)+1)-INDEX(Bootstrap!$D$39:$D$59,MATCH((($I49-MarketData!$B$4)/360),Bootstrap!$B$39:$B$59,1)))*(((($I49-MarketData!$B$4)/360))-INDEX(Bootstrap!$B$39:$B$59,MATCH((($I49-MarketData!$B$4)/360),Bootstrap!$B$39:$B$59,1)))/(INDEX(Bootstrap!$B$39:$B$59,MATCH((($I49-MarketData!$B$4)/360),Bootstrap!$B$39:$B$59,1)+1)-INDEX(Bootstrap!$B$39:$B$59,MATCH((($I49-MarketData!$B$4)/360),Bootstrap!$B$39:$B$59,1))))</f>
        <v>0.863385264549786</v>
      </c>
      <c r="L49" s="25" t="n">
        <f aca="false">(J49/K49-1)/G49</f>
        <v>0.0378195188841796</v>
      </c>
      <c r="M49" s="22" t="n">
        <f aca="false">MarketData!$C$95</f>
        <v>0.0383333575</v>
      </c>
      <c r="N49" s="31" t="n">
        <f aca="false">(L49-M49)*10000</f>
        <v>-5.13838615820363</v>
      </c>
    </row>
    <row r="50" customFormat="false" ht="15" hidden="false" customHeight="false" outlineLevel="0" collapsed="false">
      <c r="A50" s="16" t="n">
        <f aca="false">MarketData!$A$96</f>
        <v>47562</v>
      </c>
      <c r="B50" s="21" t="n">
        <f aca="false">(A50-MarketData!$B$4)/360</f>
        <v>3.84722222222222</v>
      </c>
      <c r="C50" s="30" t="n">
        <f aca="false">EXP(INDEX(Bootstrap!$D$39:$D$59,MATCH($B50,Bootstrap!$B$39:$B$59,1))+(INDEX(Bootstrap!$D$39:$D$59,MATCH($B50,Bootstrap!$B$39:$B$59,1)+1)-INDEX(Bootstrap!$D$39:$D$59,MATCH($B50,Bootstrap!$B$39:$B$59,1)))*(($B50)-INDEX(Bootstrap!$B$39:$B$59,MATCH($B50,Bootstrap!$B$39:$B$59,1)))/(INDEX(Bootstrap!$B$39:$B$59,MATCH($B50,Bootstrap!$B$39:$B$59,1)+1)-INDEX(Bootstrap!$B$39:$B$59,MATCH($B50,Bootstrap!$B$39:$B$59,1))))</f>
        <v>0.862751513387713</v>
      </c>
      <c r="D50" s="30" t="n">
        <f aca="false">MarketData!$B$96</f>
        <v>0.862845885</v>
      </c>
      <c r="E50" s="31" t="n">
        <f aca="false">(LN(D50)-LN(C50))/B50*10000</f>
        <v>0.284305080747763</v>
      </c>
      <c r="F50" s="19" t="n">
        <f aca="false">A51</f>
        <v>47596</v>
      </c>
      <c r="G50" s="21" t="n">
        <f aca="false">(F50-A50)/360</f>
        <v>0.0944444444444444</v>
      </c>
      <c r="H50" s="19" t="n">
        <f aca="false">WORKDAY(A50,-5)</f>
        <v>47555</v>
      </c>
      <c r="I50" s="19" t="n">
        <f aca="false">WORKDAY(F50,-5)</f>
        <v>47589</v>
      </c>
      <c r="J50" s="18" t="n">
        <f aca="false">EXP(INDEX(Bootstrap!$D$39:$D$59,MATCH((($H50-MarketData!$B$4)/360),Bootstrap!$B$39:$B$59,1))+(INDEX(Bootstrap!$D$39:$D$59,MATCH((($H50-MarketData!$B$4)/360),Bootstrap!$B$39:$B$59,1)+1)-INDEX(Bootstrap!$D$39:$D$59,MATCH((($H50-MarketData!$B$4)/360),Bootstrap!$B$39:$B$59,1)))*(((($H50-MarketData!$B$4)/360))-INDEX(Bootstrap!$B$39:$B$59,MATCH((($H50-MarketData!$B$4)/360),Bootstrap!$B$39:$B$59,1)))/(INDEX(Bootstrap!$B$39:$B$59,MATCH((($H50-MarketData!$B$4)/360),Bootstrap!$B$39:$B$59,1)+1)-INDEX(Bootstrap!$B$39:$B$59,MATCH((($H50-MarketData!$B$4)/360),Bootstrap!$B$39:$B$59,1))))</f>
        <v>0.863385264549786</v>
      </c>
      <c r="K50" s="18" t="n">
        <f aca="false">EXP(INDEX(Bootstrap!$D$39:$D$59,MATCH((($I50-MarketData!$B$4)/360),Bootstrap!$B$39:$B$59,1))+(INDEX(Bootstrap!$D$39:$D$59,MATCH((($I50-MarketData!$B$4)/360),Bootstrap!$B$39:$B$59,1)+1)-INDEX(Bootstrap!$D$39:$D$59,MATCH((($I50-MarketData!$B$4)/360),Bootstrap!$B$39:$B$59,1)))*(((($I50-MarketData!$B$4)/360))-INDEX(Bootstrap!$B$39:$B$59,MATCH((($I50-MarketData!$B$4)/360),Bootstrap!$B$39:$B$59,1)))/(INDEX(Bootstrap!$B$39:$B$59,MATCH((($I50-MarketData!$B$4)/360),Bootstrap!$B$39:$B$59,1)+1)-INDEX(Bootstrap!$B$39:$B$59,MATCH((($I50-MarketData!$B$4)/360),Bootstrap!$B$39:$B$59,1))))</f>
        <v>0.860311399195998</v>
      </c>
      <c r="L50" s="25" t="n">
        <f aca="false">(J50/K50-1)/G50</f>
        <v>0.0378314290136888</v>
      </c>
      <c r="M50" s="22" t="n">
        <f aca="false">MarketData!$C$96</f>
        <v>0.0383900468</v>
      </c>
      <c r="N50" s="31" t="n">
        <f aca="false">(L50-M50)*10000</f>
        <v>-5.5861778631118</v>
      </c>
    </row>
    <row r="51" customFormat="false" ht="15" hidden="false" customHeight="false" outlineLevel="0" collapsed="false">
      <c r="A51" s="16" t="n">
        <f aca="false">MarketData!$A$97</f>
        <v>47596</v>
      </c>
      <c r="B51" s="21" t="n">
        <f aca="false">(A51-MarketData!$B$4)/360</f>
        <v>3.94166666666667</v>
      </c>
      <c r="C51" s="30" t="n">
        <f aca="false">EXP(INDEX(Bootstrap!$D$39:$D$59,MATCH($B51,Bootstrap!$B$39:$B$59,1))+(INDEX(Bootstrap!$D$39:$D$59,MATCH($B51,Bootstrap!$B$39:$B$59,1)+1)-INDEX(Bootstrap!$D$39:$D$59,MATCH($B51,Bootstrap!$B$39:$B$59,1)))*(($B51)-INDEX(Bootstrap!$B$39:$B$59,MATCH($B51,Bootstrap!$B$39:$B$59,1)))/(INDEX(Bootstrap!$B$39:$B$59,MATCH($B51,Bootstrap!$B$39:$B$59,1)+1)-INDEX(Bootstrap!$B$39:$B$59,MATCH($B51,Bootstrap!$B$39:$B$59,1))))</f>
        <v>0.859679904345006</v>
      </c>
      <c r="D51" s="30" t="n">
        <f aca="false">MarketData!$B$97</f>
        <v>0.859727851</v>
      </c>
      <c r="E51" s="31" t="n">
        <f aca="false">(LN(D51)-LN(C51))/B51*10000</f>
        <v>0.141491233835676</v>
      </c>
      <c r="F51" s="19" t="n">
        <f aca="false">A52</f>
        <v>47623</v>
      </c>
      <c r="G51" s="21" t="n">
        <f aca="false">(F51-A51)/360</f>
        <v>0.075</v>
      </c>
      <c r="H51" s="19" t="n">
        <f aca="false">WORKDAY(A51,-5)</f>
        <v>47589</v>
      </c>
      <c r="I51" s="19" t="n">
        <f aca="false">WORKDAY(F51,-5)</f>
        <v>47616</v>
      </c>
      <c r="J51" s="18" t="n">
        <f aca="false">EXP(INDEX(Bootstrap!$D$39:$D$59,MATCH((($H51-MarketData!$B$4)/360),Bootstrap!$B$39:$B$59,1))+(INDEX(Bootstrap!$D$39:$D$59,MATCH((($H51-MarketData!$B$4)/360),Bootstrap!$B$39:$B$59,1)+1)-INDEX(Bootstrap!$D$39:$D$59,MATCH((($H51-MarketData!$B$4)/360),Bootstrap!$B$39:$B$59,1)))*(((($H51-MarketData!$B$4)/360))-INDEX(Bootstrap!$B$39:$B$59,MATCH((($H51-MarketData!$B$4)/360),Bootstrap!$B$39:$B$59,1)))/(INDEX(Bootstrap!$B$39:$B$59,MATCH((($H51-MarketData!$B$4)/360),Bootstrap!$B$39:$B$59,1)+1)-INDEX(Bootstrap!$B$39:$B$59,MATCH((($H51-MarketData!$B$4)/360),Bootstrap!$B$39:$B$59,1))))</f>
        <v>0.860311399195998</v>
      </c>
      <c r="K51" s="18" t="n">
        <f aca="false">EXP(INDEX(Bootstrap!$D$39:$D$59,MATCH((($I51-MarketData!$B$4)/360),Bootstrap!$B$39:$B$59,1))+(INDEX(Bootstrap!$D$39:$D$59,MATCH((($I51-MarketData!$B$4)/360),Bootstrap!$B$39:$B$59,1)+1)-INDEX(Bootstrap!$D$39:$D$59,MATCH((($I51-MarketData!$B$4)/360),Bootstrap!$B$39:$B$59,1)))*(((($I51-MarketData!$B$4)/360))-INDEX(Bootstrap!$B$39:$B$59,MATCH((($I51-MarketData!$B$4)/360),Bootstrap!$B$39:$B$59,1)))/(INDEX(Bootstrap!$B$39:$B$59,MATCH((($I51-MarketData!$B$4)/360),Bootstrap!$B$39:$B$59,1)+1)-INDEX(Bootstrap!$B$39:$B$59,MATCH((($I51-MarketData!$B$4)/360),Bootstrap!$B$39:$B$59,1))))</f>
        <v>0.857878186362525</v>
      </c>
      <c r="L51" s="25" t="n">
        <f aca="false">(J51/K51-1)/G51</f>
        <v>0.037817534348541</v>
      </c>
      <c r="M51" s="22" t="n">
        <f aca="false">MarketData!$C$97</f>
        <v>0.0384206017</v>
      </c>
      <c r="N51" s="31" t="n">
        <f aca="false">(L51-M51)*10000</f>
        <v>-6.03067351459041</v>
      </c>
    </row>
    <row r="52" customFormat="false" ht="15" hidden="false" customHeight="false" outlineLevel="0" collapsed="false">
      <c r="A52" s="16" t="n">
        <f aca="false">MarketData!$A$98</f>
        <v>47623</v>
      </c>
      <c r="B52" s="21" t="n">
        <f aca="false">(A52-MarketData!$B$4)/360</f>
        <v>4.01666666666667</v>
      </c>
      <c r="C52" s="30" t="n">
        <f aca="false">EXP(INDEX(Bootstrap!$D$39:$D$59,MATCH($B52,Bootstrap!$B$39:$B$59,1))+(INDEX(Bootstrap!$D$39:$D$59,MATCH($B52,Bootstrap!$B$39:$B$59,1)+1)-INDEX(Bootstrap!$D$39:$D$59,MATCH($B52,Bootstrap!$B$39:$B$59,1)))*(($B52)-INDEX(Bootstrap!$B$39:$B$59,MATCH($B52,Bootstrap!$B$39:$B$59,1)))/(INDEX(Bootstrap!$B$39:$B$59,MATCH($B52,Bootstrap!$B$39:$B$59,1)+1)-INDEX(Bootstrap!$B$39:$B$59,MATCH($B52,Bootstrap!$B$39:$B$59,1))))</f>
        <v>0.857248477564092</v>
      </c>
      <c r="D52" s="30" t="n">
        <f aca="false">MarketData!$B$98</f>
        <v>0.857256978</v>
      </c>
      <c r="E52" s="31" t="n">
        <f aca="false">(LN(D52)-LN(C52))/B52*10000</f>
        <v>0.024686898377195</v>
      </c>
      <c r="F52" s="19" t="n">
        <f aca="false">A53</f>
        <v>47654</v>
      </c>
      <c r="G52" s="21" t="n">
        <f aca="false">(F52-A52)/360</f>
        <v>0.0861111111111111</v>
      </c>
      <c r="H52" s="19" t="n">
        <f aca="false">WORKDAY(A52,-5)</f>
        <v>47616</v>
      </c>
      <c r="I52" s="19" t="n">
        <f aca="false">WORKDAY(F52,-5)</f>
        <v>47647</v>
      </c>
      <c r="J52" s="18" t="n">
        <f aca="false">EXP(INDEX(Bootstrap!$D$39:$D$59,MATCH((($H52-MarketData!$B$4)/360),Bootstrap!$B$39:$B$59,1))+(INDEX(Bootstrap!$D$39:$D$59,MATCH((($H52-MarketData!$B$4)/360),Bootstrap!$B$39:$B$59,1)+1)-INDEX(Bootstrap!$D$39:$D$59,MATCH((($H52-MarketData!$B$4)/360),Bootstrap!$B$39:$B$59,1)))*(((($H52-MarketData!$B$4)/360))-INDEX(Bootstrap!$B$39:$B$59,MATCH((($H52-MarketData!$B$4)/360),Bootstrap!$B$39:$B$59,1)))/(INDEX(Bootstrap!$B$39:$B$59,MATCH((($H52-MarketData!$B$4)/360),Bootstrap!$B$39:$B$59,1)+1)-INDEX(Bootstrap!$B$39:$B$59,MATCH((($H52-MarketData!$B$4)/360),Bootstrap!$B$39:$B$59,1))))</f>
        <v>0.857878186362525</v>
      </c>
      <c r="K52" s="18" t="n">
        <f aca="false">EXP(INDEX(Bootstrap!$D$39:$D$59,MATCH((($I52-MarketData!$B$4)/360),Bootstrap!$B$39:$B$59,1))+(INDEX(Bootstrap!$D$39:$D$59,MATCH((($I52-MarketData!$B$4)/360),Bootstrap!$B$39:$B$59,1)+1)-INDEX(Bootstrap!$D$39:$D$59,MATCH((($I52-MarketData!$B$4)/360),Bootstrap!$B$39:$B$59,1)))*(((($I52-MarketData!$B$4)/360))-INDEX(Bootstrap!$B$39:$B$59,MATCH((($I52-MarketData!$B$4)/360),Bootstrap!$B$39:$B$59,1)))/(INDEX(Bootstrap!$B$39:$B$59,MATCH((($I52-MarketData!$B$4)/360),Bootstrap!$B$39:$B$59,1)+1)-INDEX(Bootstrap!$B$39:$B$59,MATCH((($I52-MarketData!$B$4)/360),Bootstrap!$B$39:$B$59,1))))</f>
        <v>0.855079412585171</v>
      </c>
      <c r="L52" s="25" t="n">
        <f aca="false">(J52/K52-1)/G52</f>
        <v>0.0380103748832894</v>
      </c>
      <c r="M52" s="22" t="n">
        <f aca="false">MarketData!$C$98</f>
        <v>0.0384693757</v>
      </c>
      <c r="N52" s="31" t="n">
        <f aca="false">(L52-M52)*10000</f>
        <v>-4.59000816710638</v>
      </c>
    </row>
    <row r="53" customFormat="false" ht="15" hidden="false" customHeight="false" outlineLevel="0" collapsed="false">
      <c r="A53" s="16" t="n">
        <f aca="false">MarketData!$A$99</f>
        <v>47654</v>
      </c>
      <c r="B53" s="21" t="n">
        <f aca="false">(A53-MarketData!$B$4)/360</f>
        <v>4.10277777777778</v>
      </c>
      <c r="C53" s="30" t="n">
        <f aca="false">EXP(INDEX(Bootstrap!$D$39:$D$59,MATCH($B53,Bootstrap!$B$39:$B$59,1))+(INDEX(Bootstrap!$D$39:$D$59,MATCH($B53,Bootstrap!$B$39:$B$59,1)+1)-INDEX(Bootstrap!$D$39:$D$59,MATCH($B53,Bootstrap!$B$39:$B$59,1)))*(($B53)-INDEX(Bootstrap!$B$39:$B$59,MATCH($B53,Bootstrap!$B$39:$B$59,1)))/(INDEX(Bootstrap!$B$39:$B$59,MATCH($B53,Bootstrap!$B$39:$B$59,1)+1)-INDEX(Bootstrap!$B$39:$B$59,MATCH($B53,Bootstrap!$B$39:$B$59,1))))</f>
        <v>0.854432773863084</v>
      </c>
      <c r="D53" s="30" t="n">
        <f aca="false">MarketData!$B$99</f>
        <v>0.854425432</v>
      </c>
      <c r="E53" s="31" t="n">
        <f aca="false">(LN(D53)-LN(C53))/B53*10000</f>
        <v>-0.0209436443367434</v>
      </c>
      <c r="F53" s="17"/>
      <c r="G53" s="17"/>
      <c r="H53" s="17"/>
      <c r="I53" s="17"/>
      <c r="J53" s="17"/>
      <c r="K53" s="17"/>
      <c r="L53" s="17"/>
      <c r="M53" s="17"/>
      <c r="N53" s="17"/>
    </row>
    <row r="55" customFormat="false" ht="15" hidden="false" customHeight="false" outlineLevel="0" collapsed="false">
      <c r="A55" s="3" t="s">
        <v>71</v>
      </c>
      <c r="C55" s="32" t="n">
        <f aca="false" t="array" ref="C55:C55">AVERAGE(ABS(E5:E53))</f>
        <v>0.795108026786032</v>
      </c>
    </row>
    <row r="56" customFormat="false" ht="15" hidden="false" customHeight="false" outlineLevel="0" collapsed="false">
      <c r="A56" s="3" t="s">
        <v>72</v>
      </c>
      <c r="C56" s="32" t="n">
        <f aca="false" t="array" ref="C56:C56">MAX(ABS(E5:E53))</f>
        <v>1.60038674133124</v>
      </c>
    </row>
    <row r="57" customFormat="false" ht="15" hidden="false" customHeight="false" outlineLevel="0" collapsed="false">
      <c r="A57" s="3" t="s">
        <v>73</v>
      </c>
      <c r="C57" s="32" t="n">
        <f aca="false" t="array" ref="C57:C57">AVERAGE(ABS(N5:N52))</f>
        <v>2.0024293855856</v>
      </c>
    </row>
    <row r="58" customFormat="false" ht="15" hidden="false" customHeight="false" outlineLevel="0" collapsed="false">
      <c r="A58" s="3" t="s">
        <v>74</v>
      </c>
      <c r="C58" s="32" t="n">
        <f aca="false" t="array" ref="C58:C58">MAX(ABS(N5:N52))</f>
        <v>7.03434319335311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5" min="4" style="0" width="13"/>
    <col collapsed="false" customWidth="true" hidden="false" outlineLevel="0" max="7" min="6" style="0" width="15"/>
  </cols>
  <sheetData>
    <row r="1" customFormat="false" ht="16.15" hidden="false" customHeight="false" outlineLevel="0" collapsed="false">
      <c r="A1" s="1" t="s">
        <v>75</v>
      </c>
    </row>
    <row r="2" customFormat="false" ht="15" hidden="false" customHeight="false" outlineLevel="0" collapsed="false">
      <c r="A2" s="2" t="s">
        <v>76</v>
      </c>
    </row>
    <row r="4" customFormat="false" ht="15" hidden="false" customHeight="false" outlineLevel="0" collapsed="false">
      <c r="A4" s="6" t="s">
        <v>77</v>
      </c>
    </row>
    <row r="5" customFormat="false" ht="15" hidden="false" customHeight="false" outlineLevel="0" collapsed="false">
      <c r="A5" s="7" t="s">
        <v>78</v>
      </c>
      <c r="B5" s="7" t="s">
        <v>79</v>
      </c>
      <c r="C5" s="7" t="s">
        <v>80</v>
      </c>
      <c r="D5" s="7" t="s">
        <v>81</v>
      </c>
    </row>
    <row r="6" customFormat="false" ht="15" hidden="false" customHeight="false" outlineLevel="0" collapsed="false">
      <c r="A6" s="11" t="n">
        <v>46924</v>
      </c>
      <c r="B6" s="21" t="n">
        <f aca="false">(A6-MarketData!$B$4)/360</f>
        <v>2.075</v>
      </c>
      <c r="C6" s="18" t="n">
        <f aca="false">EXP(INDEX(Bootstrap!$D$39:$D$59,MATCH($B6,Bootstrap!$B$39:$B$59,1))+(INDEX(Bootstrap!$D$39:$D$59,MATCH($B6,Bootstrap!$B$39:$B$59,1)+1)-INDEX(Bootstrap!$D$39:$D$59,MATCH($B6,Bootstrap!$B$39:$B$59,1)))*(($B6)-INDEX(Bootstrap!$B$39:$B$59,MATCH($B6,Bootstrap!$B$39:$B$59,1)))/(INDEX(Bootstrap!$B$39:$B$59,MATCH($B6,Bootstrap!$B$39:$B$59,1)+1)-INDEX(Bootstrap!$B$39:$B$59,MATCH($B6,Bootstrap!$B$39:$B$59,1))))</f>
        <v>0.922861191824654</v>
      </c>
      <c r="D6" s="25" t="n">
        <f aca="false">-LN(C6)/B6</f>
        <v>0.0386874428165457</v>
      </c>
    </row>
    <row r="7" customFormat="false" ht="15" hidden="false" customHeight="false" outlineLevel="0" collapsed="false">
      <c r="A7" s="11" t="n">
        <v>47289</v>
      </c>
      <c r="B7" s="21" t="n">
        <f aca="false">(A7-MarketData!$B$4)/360</f>
        <v>3.08888888888889</v>
      </c>
      <c r="C7" s="18" t="n">
        <f aca="false">EXP(INDEX(Bootstrap!$D$39:$D$59,MATCH($B7,Bootstrap!$B$39:$B$59,1))+(INDEX(Bootstrap!$D$39:$D$59,MATCH($B7,Bootstrap!$B$39:$B$59,1)+1)-INDEX(Bootstrap!$D$39:$D$59,MATCH($B7,Bootstrap!$B$39:$B$59,1)))*(($B7)-INDEX(Bootstrap!$B$39:$B$59,MATCH($B7,Bootstrap!$B$39:$B$59,1)))/(INDEX(Bootstrap!$B$39:$B$59,MATCH($B7,Bootstrap!$B$39:$B$59,1)+1)-INDEX(Bootstrap!$B$39:$B$59,MATCH($B7,Bootstrap!$B$39:$B$59,1))))</f>
        <v>0.88781591573155</v>
      </c>
      <c r="D7" s="25" t="n">
        <f aca="false">-LN(C7)/B7</f>
        <v>0.0385222207286749</v>
      </c>
    </row>
    <row r="8" customFormat="false" ht="15" hidden="false" customHeight="false" outlineLevel="0" collapsed="false">
      <c r="A8" s="11" t="n">
        <v>47654</v>
      </c>
      <c r="B8" s="21" t="n">
        <f aca="false">(A8-MarketData!$B$4)/360</f>
        <v>4.10277777777778</v>
      </c>
      <c r="C8" s="18" t="n">
        <f aca="false">EXP(INDEX(Bootstrap!$D$39:$D$59,MATCH($B8,Bootstrap!$B$39:$B$59,1))+(INDEX(Bootstrap!$D$39:$D$59,MATCH($B8,Bootstrap!$B$39:$B$59,1)+1)-INDEX(Bootstrap!$D$39:$D$59,MATCH($B8,Bootstrap!$B$39:$B$59,1)))*(($B8)-INDEX(Bootstrap!$B$39:$B$59,MATCH($B8,Bootstrap!$B$39:$B$59,1)))/(INDEX(Bootstrap!$B$39:$B$59,MATCH($B8,Bootstrap!$B$39:$B$59,1)+1)-INDEX(Bootstrap!$B$39:$B$59,MATCH($B8,Bootstrap!$B$39:$B$59,1))))</f>
        <v>0.854432773863084</v>
      </c>
      <c r="D8" s="25" t="n">
        <f aca="false">-LN(C8)/B8</f>
        <v>0.0383441319785426</v>
      </c>
    </row>
    <row r="9" customFormat="false" ht="15" hidden="false" customHeight="false" outlineLevel="0" collapsed="false">
      <c r="A9" s="11" t="n">
        <v>46559</v>
      </c>
      <c r="B9" s="21" t="n">
        <f aca="false">(A9-MarketData!$B$4)/360</f>
        <v>1.06111111111111</v>
      </c>
      <c r="C9" s="18" t="n">
        <f aca="false">EXP(INDEX(Bootstrap!$D$39:$D$59,MATCH($B9,Bootstrap!$B$39:$B$59,1))+(INDEX(Bootstrap!$D$39:$D$59,MATCH($B9,Bootstrap!$B$39:$B$59,1)+1)-INDEX(Bootstrap!$D$39:$D$59,MATCH($B9,Bootstrap!$B$39:$B$59,1)))*(($B9)-INDEX(Bootstrap!$B$39:$B$59,MATCH($B9,Bootstrap!$B$39:$B$59,1)))/(INDEX(Bootstrap!$B$39:$B$59,MATCH($B9,Bootstrap!$B$39:$B$59,1)+1)-INDEX(Bootstrap!$B$39:$B$59,MATCH($B9,Bootstrap!$B$39:$B$59,1))))</f>
        <v>0.960519116969005</v>
      </c>
      <c r="D9" s="25" t="n">
        <f aca="false">-LN(C9)/B9</f>
        <v>0.0379615229796727</v>
      </c>
    </row>
    <row r="10" customFormat="false" ht="15" hidden="false" customHeight="false" outlineLevel="0" collapsed="false">
      <c r="A10" s="11" t="n">
        <v>47472</v>
      </c>
      <c r="B10" s="21" t="n">
        <f aca="false">(A10-MarketData!$B$4)/360</f>
        <v>3.59722222222222</v>
      </c>
      <c r="C10" s="18" t="n">
        <f aca="false">EXP(INDEX(Bootstrap!$D$39:$D$59,MATCH($B10,Bootstrap!$B$39:$B$59,1))+(INDEX(Bootstrap!$D$39:$D$59,MATCH($B10,Bootstrap!$B$39:$B$59,1)+1)-INDEX(Bootstrap!$D$39:$D$59,MATCH($B10,Bootstrap!$B$39:$B$59,1)))*(($B10)-INDEX(Bootstrap!$B$39:$B$59,MATCH($B10,Bootstrap!$B$39:$B$59,1)))/(INDEX(Bootstrap!$B$39:$B$59,MATCH($B10,Bootstrap!$B$39:$B$59,1)+1)-INDEX(Bootstrap!$B$39:$B$59,MATCH($B10,Bootstrap!$B$39:$B$59,1))))</f>
        <v>0.87093532224507</v>
      </c>
      <c r="D10" s="25" t="n">
        <f aca="false">-LN(C10)/B10</f>
        <v>0.0384150750897289</v>
      </c>
    </row>
    <row r="13" customFormat="false" ht="15" hidden="false" customHeight="false" outlineLevel="0" collapsed="false">
      <c r="A13" s="6" t="s">
        <v>82</v>
      </c>
    </row>
    <row r="14" customFormat="false" ht="30" hidden="false" customHeight="true" outlineLevel="0" collapsed="false">
      <c r="A14" s="29" t="s">
        <v>8</v>
      </c>
      <c r="B14" s="29" t="s">
        <v>9</v>
      </c>
      <c r="C14" s="29" t="s">
        <v>40</v>
      </c>
      <c r="D14" s="29" t="s">
        <v>66</v>
      </c>
      <c r="E14" s="29" t="s">
        <v>67</v>
      </c>
      <c r="F14" s="29" t="s">
        <v>83</v>
      </c>
      <c r="G14" s="29" t="s">
        <v>84</v>
      </c>
    </row>
    <row r="15" customFormat="false" ht="15" hidden="false" customHeight="false" outlineLevel="0" collapsed="false">
      <c r="A15" s="11" t="n">
        <v>46924</v>
      </c>
      <c r="B15" s="11" t="n">
        <v>47654</v>
      </c>
      <c r="C15" s="21" t="n">
        <f aca="false">(B15-A15)/360</f>
        <v>2.02777777777778</v>
      </c>
      <c r="D15" s="18" t="n">
        <f aca="false">EXP(INDEX(Bootstrap!$D$39:$D$59,MATCH(((WORKDAY(A15,-5)-MarketData!$B$4)/360),Bootstrap!$B$39:$B$59,1))+(INDEX(Bootstrap!$D$39:$D$59,MATCH(((WORKDAY(A15,-5)-MarketData!$B$4)/360),Bootstrap!$B$39:$B$59,1)+1)-INDEX(Bootstrap!$D$39:$D$59,MATCH(((WORKDAY(A15,-5)-MarketData!$B$4)/360),Bootstrap!$B$39:$B$59,1)))*((((WORKDAY(A15,-5)-MarketData!$B$4)/360))-INDEX(Bootstrap!$B$39:$B$59,MATCH(((WORKDAY(A15,-5)-MarketData!$B$4)/360),Bootstrap!$B$39:$B$59,1)))/(INDEX(Bootstrap!$B$39:$B$59,MATCH(((WORKDAY(A15,-5)-MarketData!$B$4)/360),Bootstrap!$B$39:$B$59,1)+1)-INDEX(Bootstrap!$B$39:$B$59,MATCH(((WORKDAY(A15,-5)-MarketData!$B$4)/360),Bootstrap!$B$39:$B$59,1))))</f>
        <v>0.923559307823406</v>
      </c>
      <c r="E15" s="18" t="n">
        <f aca="false">EXP(INDEX(Bootstrap!$D$39:$D$59,MATCH(((WORKDAY(B15,-5)-MarketData!$B$4)/360),Bootstrap!$B$39:$B$59,1))+(INDEX(Bootstrap!$D$39:$D$59,MATCH(((WORKDAY(B15,-5)-MarketData!$B$4)/360),Bootstrap!$B$39:$B$59,1)+1)-INDEX(Bootstrap!$D$39:$D$59,MATCH(((WORKDAY(B15,-5)-MarketData!$B$4)/360),Bootstrap!$B$39:$B$59,1)))*((((WORKDAY(B15,-5)-MarketData!$B$4)/360))-INDEX(Bootstrap!$B$39:$B$59,MATCH(((WORKDAY(B15,-5)-MarketData!$B$4)/360),Bootstrap!$B$39:$B$59,1)))/(INDEX(Bootstrap!$B$39:$B$59,MATCH(((WORKDAY(B15,-5)-MarketData!$B$4)/360),Bootstrap!$B$39:$B$59,1)+1)-INDEX(Bootstrap!$B$39:$B$59,MATCH(((WORKDAY(B15,-5)-MarketData!$B$4)/360),Bootstrap!$B$39:$B$59,1))))</f>
        <v>0.855079412585171</v>
      </c>
      <c r="F15" s="25" t="n">
        <f aca="false">(D15/E15-1)/C15</f>
        <v>0.03949446886889</v>
      </c>
      <c r="G15" s="25" t="n">
        <f aca="false">(EXP(INDEX(Bootstrap!$D$39:$D$59,MATCH((($A15-MarketData!$B$4)/360),Bootstrap!$B$39:$B$59,1))+(INDEX(Bootstrap!$D$39:$D$59,MATCH((($A15-MarketData!$B$4)/360),Bootstrap!$B$39:$B$59,1)+1)-INDEX(Bootstrap!$D$39:$D$59,MATCH((($A15-MarketData!$B$4)/360),Bootstrap!$B$39:$B$59,1)))*(((($A15-MarketData!$B$4)/360))-INDEX(Bootstrap!$B$39:$B$59,MATCH((($A15-MarketData!$B$4)/360),Bootstrap!$B$39:$B$59,1)))/(INDEX(Bootstrap!$B$39:$B$59,MATCH((($A15-MarketData!$B$4)/360),Bootstrap!$B$39:$B$59,1)+1)-INDEX(Bootstrap!$B$39:$B$59,MATCH((($A15-MarketData!$B$4)/360),Bootstrap!$B$39:$B$59,1))))/EXP(INDEX(Bootstrap!$D$39:$D$59,MATCH((($B15-MarketData!$B$4)/360),Bootstrap!$B$39:$B$59,1))+(INDEX(Bootstrap!$D$39:$D$59,MATCH((($B15-MarketData!$B$4)/360),Bootstrap!$B$39:$B$59,1)+1)-INDEX(Bootstrap!$D$39:$D$59,MATCH((($B15-MarketData!$B$4)/360),Bootstrap!$B$39:$B$59,1)))*(((($B15-MarketData!$B$4)/360))-INDEX(Bootstrap!$B$39:$B$59,MATCH((($B15-MarketData!$B$4)/360),Bootstrap!$B$39:$B$59,1)))/(INDEX(Bootstrap!$B$39:$B$59,MATCH((($B15-MarketData!$B$4)/360),Bootstrap!$B$39:$B$59,1)+1)-INDEX(Bootstrap!$B$39:$B$59,MATCH((($B15-MarketData!$B$4)/360),Bootstrap!$B$39:$B$59,1))))-1)/C15</f>
        <v>0.0394946474653078</v>
      </c>
    </row>
    <row r="16" customFormat="false" ht="15" hidden="false" customHeight="false" outlineLevel="0" collapsed="false">
      <c r="A16" s="11" t="n">
        <v>46924</v>
      </c>
      <c r="B16" s="11" t="n">
        <v>47289</v>
      </c>
      <c r="C16" s="21" t="n">
        <f aca="false">(B16-A16)/360</f>
        <v>1.01388888888889</v>
      </c>
      <c r="D16" s="18" t="n">
        <f aca="false">EXP(INDEX(Bootstrap!$D$39:$D$59,MATCH(((WORKDAY(A16,-5)-MarketData!$B$4)/360),Bootstrap!$B$39:$B$59,1))+(INDEX(Bootstrap!$D$39:$D$59,MATCH(((WORKDAY(A16,-5)-MarketData!$B$4)/360),Bootstrap!$B$39:$B$59,1)+1)-INDEX(Bootstrap!$D$39:$D$59,MATCH(((WORKDAY(A16,-5)-MarketData!$B$4)/360),Bootstrap!$B$39:$B$59,1)))*((((WORKDAY(A16,-5)-MarketData!$B$4)/360))-INDEX(Bootstrap!$B$39:$B$59,MATCH(((WORKDAY(A16,-5)-MarketData!$B$4)/360),Bootstrap!$B$39:$B$59,1)))/(INDEX(Bootstrap!$B$39:$B$59,MATCH(((WORKDAY(A16,-5)-MarketData!$B$4)/360),Bootstrap!$B$39:$B$59,1)+1)-INDEX(Bootstrap!$B$39:$B$59,MATCH(((WORKDAY(A16,-5)-MarketData!$B$4)/360),Bootstrap!$B$39:$B$59,1))))</f>
        <v>0.923559307823406</v>
      </c>
      <c r="E16" s="18" t="n">
        <f aca="false">EXP(INDEX(Bootstrap!$D$39:$D$59,MATCH(((WORKDAY(B16,-5)-MarketData!$B$4)/360),Bootstrap!$B$39:$B$59,1))+(INDEX(Bootstrap!$D$39:$D$59,MATCH(((WORKDAY(B16,-5)-MarketData!$B$4)/360),Bootstrap!$B$39:$B$59,1)+1)-INDEX(Bootstrap!$D$39:$D$59,MATCH(((WORKDAY(B16,-5)-MarketData!$B$4)/360),Bootstrap!$B$39:$B$59,1)))*((((WORKDAY(B16,-5)-MarketData!$B$4)/360))-INDEX(Bootstrap!$B$39:$B$59,MATCH(((WORKDAY(B16,-5)-MarketData!$B$4)/360),Bootstrap!$B$39:$B$59,1)))/(INDEX(Bootstrap!$B$39:$B$59,MATCH(((WORKDAY(B16,-5)-MarketData!$B$4)/360),Bootstrap!$B$39:$B$59,1)+1)-INDEX(Bootstrap!$B$39:$B$59,MATCH(((WORKDAY(B16,-5)-MarketData!$B$4)/360),Bootstrap!$B$39:$B$59,1))))</f>
        <v>0.888473488521254</v>
      </c>
      <c r="F16" s="25" t="n">
        <f aca="false">(D16/E16-1)/C16</f>
        <v>0.0389490424729218</v>
      </c>
      <c r="G16" s="25" t="n">
        <f aca="false">(EXP(INDEX(Bootstrap!$D$39:$D$59,MATCH((($A16-MarketData!$B$4)/360),Bootstrap!$B$39:$B$59,1))+(INDEX(Bootstrap!$D$39:$D$59,MATCH((($A16-MarketData!$B$4)/360),Bootstrap!$B$39:$B$59,1)+1)-INDEX(Bootstrap!$D$39:$D$59,MATCH((($A16-MarketData!$B$4)/360),Bootstrap!$B$39:$B$59,1)))*(((($A16-MarketData!$B$4)/360))-INDEX(Bootstrap!$B$39:$B$59,MATCH((($A16-MarketData!$B$4)/360),Bootstrap!$B$39:$B$59,1)))/(INDEX(Bootstrap!$B$39:$B$59,MATCH((($A16-MarketData!$B$4)/360),Bootstrap!$B$39:$B$59,1)+1)-INDEX(Bootstrap!$B$39:$B$59,MATCH((($A16-MarketData!$B$4)/360),Bootstrap!$B$39:$B$59,1))))/EXP(INDEX(Bootstrap!$D$39:$D$59,MATCH((($B16-MarketData!$B$4)/360),Bootstrap!$B$39:$B$59,1))+(INDEX(Bootstrap!$D$39:$D$59,MATCH((($B16-MarketData!$B$4)/360),Bootstrap!$B$39:$B$59,1)+1)-INDEX(Bootstrap!$D$39:$D$59,MATCH((($B16-MarketData!$B$4)/360),Bootstrap!$B$39:$B$59,1)))*(((($B16-MarketData!$B$4)/360))-INDEX(Bootstrap!$B$39:$B$59,MATCH((($B16-MarketData!$B$4)/360),Bootstrap!$B$39:$B$59,1)))/(INDEX(Bootstrap!$B$39:$B$59,MATCH((($B16-MarketData!$B$4)/360),Bootstrap!$B$39:$B$59,1)+1)-INDEX(Bootstrap!$B$39:$B$59,MATCH((($B16-MarketData!$B$4)/360),Bootstrap!$B$39:$B$59,1))))-1)/C16</f>
        <v>0.0389328499358729</v>
      </c>
    </row>
    <row r="17" customFormat="false" ht="15" hidden="false" customHeight="false" outlineLevel="0" collapsed="false">
      <c r="A17" s="11" t="n">
        <v>47289</v>
      </c>
      <c r="B17" s="11" t="n">
        <v>47654</v>
      </c>
      <c r="C17" s="21" t="n">
        <f aca="false">(B17-A17)/360</f>
        <v>1.01388888888889</v>
      </c>
      <c r="D17" s="18" t="n">
        <f aca="false">EXP(INDEX(Bootstrap!$D$39:$D$59,MATCH(((WORKDAY(A17,-5)-MarketData!$B$4)/360),Bootstrap!$B$39:$B$59,1))+(INDEX(Bootstrap!$D$39:$D$59,MATCH(((WORKDAY(A17,-5)-MarketData!$B$4)/360),Bootstrap!$B$39:$B$59,1)+1)-INDEX(Bootstrap!$D$39:$D$59,MATCH(((WORKDAY(A17,-5)-MarketData!$B$4)/360),Bootstrap!$B$39:$B$59,1)))*((((WORKDAY(A17,-5)-MarketData!$B$4)/360))-INDEX(Bootstrap!$B$39:$B$59,MATCH(((WORKDAY(A17,-5)-MarketData!$B$4)/360),Bootstrap!$B$39:$B$59,1)))/(INDEX(Bootstrap!$B$39:$B$59,MATCH(((WORKDAY(A17,-5)-MarketData!$B$4)/360),Bootstrap!$B$39:$B$59,1)+1)-INDEX(Bootstrap!$B$39:$B$59,MATCH(((WORKDAY(A17,-5)-MarketData!$B$4)/360),Bootstrap!$B$39:$B$59,1))))</f>
        <v>0.888473488521254</v>
      </c>
      <c r="E17" s="18" t="n">
        <f aca="false">EXP(INDEX(Bootstrap!$D$39:$D$59,MATCH(((WORKDAY(B17,-5)-MarketData!$B$4)/360),Bootstrap!$B$39:$B$59,1))+(INDEX(Bootstrap!$D$39:$D$59,MATCH(((WORKDAY(B17,-5)-MarketData!$B$4)/360),Bootstrap!$B$39:$B$59,1)+1)-INDEX(Bootstrap!$D$39:$D$59,MATCH(((WORKDAY(B17,-5)-MarketData!$B$4)/360),Bootstrap!$B$39:$B$59,1)))*((((WORKDAY(B17,-5)-MarketData!$B$4)/360))-INDEX(Bootstrap!$B$39:$B$59,MATCH(((WORKDAY(B17,-5)-MarketData!$B$4)/360),Bootstrap!$B$39:$B$59,1)))/(INDEX(Bootstrap!$B$39:$B$59,MATCH(((WORKDAY(B17,-5)-MarketData!$B$4)/360),Bootstrap!$B$39:$B$59,1)+1)-INDEX(Bootstrap!$B$39:$B$59,MATCH(((WORKDAY(B17,-5)-MarketData!$B$4)/360),Bootstrap!$B$39:$B$59,1))))</f>
        <v>0.855079412585171</v>
      </c>
      <c r="F17" s="25" t="n">
        <f aca="false">(D17/E17-1)/C17</f>
        <v>0.0385187882625903</v>
      </c>
      <c r="G17" s="25" t="n">
        <f aca="false">(EXP(INDEX(Bootstrap!$D$39:$D$59,MATCH((($A17-MarketData!$B$4)/360),Bootstrap!$B$39:$B$59,1))+(INDEX(Bootstrap!$D$39:$D$59,MATCH((($A17-MarketData!$B$4)/360),Bootstrap!$B$39:$B$59,1)+1)-INDEX(Bootstrap!$D$39:$D$59,MATCH((($A17-MarketData!$B$4)/360),Bootstrap!$B$39:$B$59,1)))*(((($A17-MarketData!$B$4)/360))-INDEX(Bootstrap!$B$39:$B$59,MATCH((($A17-MarketData!$B$4)/360),Bootstrap!$B$39:$B$59,1)))/(INDEX(Bootstrap!$B$39:$B$59,MATCH((($A17-MarketData!$B$4)/360),Bootstrap!$B$39:$B$59,1)+1)-INDEX(Bootstrap!$B$39:$B$59,MATCH((($A17-MarketData!$B$4)/360),Bootstrap!$B$39:$B$59,1))))/EXP(INDEX(Bootstrap!$D$39:$D$59,MATCH((($B17-MarketData!$B$4)/360),Bootstrap!$B$39:$B$59,1))+(INDEX(Bootstrap!$D$39:$D$59,MATCH((($B17-MarketData!$B$4)/360),Bootstrap!$B$39:$B$59,1)+1)-INDEX(Bootstrap!$D$39:$D$59,MATCH((($B17-MarketData!$B$4)/360),Bootstrap!$B$39:$B$59,1)))*(((($B17-MarketData!$B$4)/360))-INDEX(Bootstrap!$B$39:$B$59,MATCH((($B17-MarketData!$B$4)/360),Bootstrap!$B$39:$B$59,1)))/(INDEX(Bootstrap!$B$39:$B$59,MATCH((($B17-MarketData!$B$4)/360),Bootstrap!$B$39:$B$59,1)+1)-INDEX(Bootstrap!$B$39:$B$59,MATCH((($B17-MarketData!$B$4)/360),Bootstrap!$B$39:$B$59,1))))-1)/C17</f>
        <v>0.0385353178885379</v>
      </c>
    </row>
    <row r="18" customFormat="false" ht="15" hidden="false" customHeight="false" outlineLevel="0" collapsed="false">
      <c r="A18" s="11" t="n">
        <v>46195</v>
      </c>
      <c r="B18" s="11" t="n">
        <v>46223</v>
      </c>
      <c r="C18" s="21" t="n">
        <f aca="false">(B18-A18)/360</f>
        <v>0.0777777777777778</v>
      </c>
      <c r="D18" s="18" t="n">
        <f aca="false">EXP(INDEX(Bootstrap!$D$39:$D$59,MATCH(((WORKDAY(A18,-5)-MarketData!$B$4)/360),Bootstrap!$B$39:$B$59,1))+(INDEX(Bootstrap!$D$39:$D$59,MATCH(((WORKDAY(A18,-5)-MarketData!$B$4)/360),Bootstrap!$B$39:$B$59,1)+1)-INDEX(Bootstrap!$D$39:$D$59,MATCH(((WORKDAY(A18,-5)-MarketData!$B$4)/360),Bootstrap!$B$39:$B$59,1)))*((((WORKDAY(A18,-5)-MarketData!$B$4)/360))-INDEX(Bootstrap!$B$39:$B$59,MATCH(((WORKDAY(A18,-5)-MarketData!$B$4)/360),Bootstrap!$B$39:$B$59,1)))/(INDEX(Bootstrap!$B$39:$B$59,MATCH(((WORKDAY(A18,-5)-MarketData!$B$4)/360),Bootstrap!$B$39:$B$59,1)+1)-INDEX(Bootstrap!$B$39:$B$59,MATCH(((WORKDAY(A18,-5)-MarketData!$B$4)/360),Bootstrap!$B$39:$B$59,1))))</f>
        <v>0.998902988621548</v>
      </c>
      <c r="E18" s="18" t="n">
        <f aca="false">EXP(INDEX(Bootstrap!$D$39:$D$59,MATCH(((WORKDAY(B18,-5)-MarketData!$B$4)/360),Bootstrap!$B$39:$B$59,1))+(INDEX(Bootstrap!$D$39:$D$59,MATCH(((WORKDAY(B18,-5)-MarketData!$B$4)/360),Bootstrap!$B$39:$B$59,1)+1)-INDEX(Bootstrap!$D$39:$D$59,MATCH(((WORKDAY(B18,-5)-MarketData!$B$4)/360),Bootstrap!$B$39:$B$59,1)))*((((WORKDAY(B18,-5)-MarketData!$B$4)/360))-INDEX(Bootstrap!$B$39:$B$59,MATCH(((WORKDAY(B18,-5)-MarketData!$B$4)/360),Bootstrap!$B$39:$B$59,1)))/(INDEX(Bootstrap!$B$39:$B$59,MATCH(((WORKDAY(B18,-5)-MarketData!$B$4)/360),Bootstrap!$B$39:$B$59,1)+1)-INDEX(Bootstrap!$B$39:$B$59,MATCH(((WORKDAY(B18,-5)-MarketData!$B$4)/360),Bootstrap!$B$39:$B$59,1))))</f>
        <v>0.996081070938</v>
      </c>
      <c r="F18" s="25" t="n">
        <f aca="false">(D18/E18-1)/C18</f>
        <v>0.0364245439924999</v>
      </c>
      <c r="G18" s="25" t="n">
        <f aca="false">(EXP(INDEX(Bootstrap!$D$39:$D$59,MATCH((($A18-MarketData!$B$4)/360),Bootstrap!$B$39:$B$59,1))+(INDEX(Bootstrap!$D$39:$D$59,MATCH((($A18-MarketData!$B$4)/360),Bootstrap!$B$39:$B$59,1)+1)-INDEX(Bootstrap!$D$39:$D$59,MATCH((($A18-MarketData!$B$4)/360),Bootstrap!$B$39:$B$59,1)))*(((($A18-MarketData!$B$4)/360))-INDEX(Bootstrap!$B$39:$B$59,MATCH((($A18-MarketData!$B$4)/360),Bootstrap!$B$39:$B$59,1)))/(INDEX(Bootstrap!$B$39:$B$59,MATCH((($A18-MarketData!$B$4)/360),Bootstrap!$B$39:$B$59,1)+1)-INDEX(Bootstrap!$B$39:$B$59,MATCH((($A18-MarketData!$B$4)/360),Bootstrap!$B$39:$B$59,1))))/EXP(INDEX(Bootstrap!$D$39:$D$59,MATCH((($B18-MarketData!$B$4)/360),Bootstrap!$B$39:$B$59,1))+(INDEX(Bootstrap!$D$39:$D$59,MATCH((($B18-MarketData!$B$4)/360),Bootstrap!$B$39:$B$59,1)+1)-INDEX(Bootstrap!$D$39:$D$59,MATCH((($B18-MarketData!$B$4)/360),Bootstrap!$B$39:$B$59,1)))*(((($B18-MarketData!$B$4)/360))-INDEX(Bootstrap!$B$39:$B$59,MATCH((($B18-MarketData!$B$4)/360),Bootstrap!$B$39:$B$59,1)))/(INDEX(Bootstrap!$B$39:$B$59,MATCH((($B18-MarketData!$B$4)/360),Bootstrap!$B$39:$B$59,1)+1)-INDEX(Bootstrap!$B$39:$B$59,MATCH((($B18-MarketData!$B$4)/360),Bootstrap!$B$39:$B$59,1))))-1)/C18</f>
        <v>0.0365343370083217</v>
      </c>
    </row>
    <row r="19" customFormat="false" ht="15" hidden="false" customHeight="false" outlineLevel="0" collapsed="false">
      <c r="A19" s="11" t="n">
        <v>46559</v>
      </c>
      <c r="B19" s="11" t="n">
        <v>46650</v>
      </c>
      <c r="C19" s="21" t="n">
        <f aca="false">(B19-A19)/360</f>
        <v>0.252777777777778</v>
      </c>
      <c r="D19" s="18" t="n">
        <f aca="false">EXP(INDEX(Bootstrap!$D$39:$D$59,MATCH(((WORKDAY(A19,-5)-MarketData!$B$4)/360),Bootstrap!$B$39:$B$59,1))+(INDEX(Bootstrap!$D$39:$D$59,MATCH(((WORKDAY(A19,-5)-MarketData!$B$4)/360),Bootstrap!$B$39:$B$59,1)+1)-INDEX(Bootstrap!$D$39:$D$59,MATCH(((WORKDAY(A19,-5)-MarketData!$B$4)/360),Bootstrap!$B$39:$B$59,1)))*((((WORKDAY(A19,-5)-MarketData!$B$4)/360))-INDEX(Bootstrap!$B$39:$B$59,MATCH(((WORKDAY(A19,-5)-MarketData!$B$4)/360),Bootstrap!$B$39:$B$59,1)))/(INDEX(Bootstrap!$B$39:$B$59,MATCH(((WORKDAY(A19,-5)-MarketData!$B$4)/360),Bootstrap!$B$39:$B$59,1)+1)-INDEX(Bootstrap!$B$39:$B$59,MATCH(((WORKDAY(A19,-5)-MarketData!$B$4)/360),Bootstrap!$B$39:$B$59,1))))</f>
        <v>0.961262954691634</v>
      </c>
      <c r="E19" s="18" t="n">
        <f aca="false">EXP(INDEX(Bootstrap!$D$39:$D$59,MATCH(((WORKDAY(B19,-5)-MarketData!$B$4)/360),Bootstrap!$B$39:$B$59,1))+(INDEX(Bootstrap!$D$39:$D$59,MATCH(((WORKDAY(B19,-5)-MarketData!$B$4)/360),Bootstrap!$B$39:$B$59,1)+1)-INDEX(Bootstrap!$D$39:$D$59,MATCH(((WORKDAY(B19,-5)-MarketData!$B$4)/360),Bootstrap!$B$39:$B$59,1)))*((((WORKDAY(B19,-5)-MarketData!$B$4)/360))-INDEX(Bootstrap!$B$39:$B$59,MATCH(((WORKDAY(B19,-5)-MarketData!$B$4)/360),Bootstrap!$B$39:$B$59,1)))/(INDEX(Bootstrap!$B$39:$B$59,MATCH(((WORKDAY(B19,-5)-MarketData!$B$4)/360),Bootstrap!$B$39:$B$59,1)+1)-INDEX(Bootstrap!$B$39:$B$59,MATCH(((WORKDAY(B19,-5)-MarketData!$B$4)/360),Bootstrap!$B$39:$B$59,1))))</f>
        <v>0.951646735046027</v>
      </c>
      <c r="F19" s="25" t="n">
        <f aca="false">(D19/E19-1)/C19</f>
        <v>0.0399751149329085</v>
      </c>
      <c r="G19" s="25" t="n">
        <f aca="false">(EXP(INDEX(Bootstrap!$D$39:$D$59,MATCH((($A19-MarketData!$B$4)/360),Bootstrap!$B$39:$B$59,1))+(INDEX(Bootstrap!$D$39:$D$59,MATCH((($A19-MarketData!$B$4)/360),Bootstrap!$B$39:$B$59,1)+1)-INDEX(Bootstrap!$D$39:$D$59,MATCH((($A19-MarketData!$B$4)/360),Bootstrap!$B$39:$B$59,1)))*(((($A19-MarketData!$B$4)/360))-INDEX(Bootstrap!$B$39:$B$59,MATCH((($A19-MarketData!$B$4)/360),Bootstrap!$B$39:$B$59,1)))/(INDEX(Bootstrap!$B$39:$B$59,MATCH((($A19-MarketData!$B$4)/360),Bootstrap!$B$39:$B$59,1)+1)-INDEX(Bootstrap!$B$39:$B$59,MATCH((($A19-MarketData!$B$4)/360),Bootstrap!$B$39:$B$59,1))))/EXP(INDEX(Bootstrap!$D$39:$D$59,MATCH((($B19-MarketData!$B$4)/360),Bootstrap!$B$39:$B$59,1))+(INDEX(Bootstrap!$D$39:$D$59,MATCH((($B19-MarketData!$B$4)/360),Bootstrap!$B$39:$B$59,1)+1)-INDEX(Bootstrap!$D$39:$D$59,MATCH((($B19-MarketData!$B$4)/360),Bootstrap!$B$39:$B$59,1)))*(((($B19-MarketData!$B$4)/360))-INDEX(Bootstrap!$B$39:$B$59,MATCH((($B19-MarketData!$B$4)/360),Bootstrap!$B$39:$B$59,1)))/(INDEX(Bootstrap!$B$39:$B$59,MATCH((($B19-MarketData!$B$4)/360),Bootstrap!$B$39:$B$59,1)+1)-INDEX(Bootstrap!$B$39:$B$59,MATCH((($B19-MarketData!$B$4)/360),Bootstrap!$B$39:$B$59,1))))-1)/C19</f>
        <v>0.0399686483274719</v>
      </c>
    </row>
    <row r="22" customFormat="false" ht="15" hidden="false" customHeight="false" outlineLevel="0" collapsed="false">
      <c r="A22" s="2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16.15" hidden="false" customHeight="false" outlineLevel="0" collapsed="false">
      <c r="A1" s="1" t="s">
        <v>86</v>
      </c>
    </row>
    <row r="3" customFormat="false" ht="15" hidden="false" customHeight="false" outlineLevel="0" collapsed="false">
      <c r="A3" s="3" t="s">
        <v>87</v>
      </c>
    </row>
    <row r="4" customFormat="false" ht="15" hidden="false" customHeight="false" outlineLevel="0" collapsed="false">
      <c r="A4" s="2"/>
      <c r="B4" s="2" t="s">
        <v>88</v>
      </c>
    </row>
    <row r="5" customFormat="false" ht="15" hidden="false" customHeight="false" outlineLevel="0" collapsed="false">
      <c r="A5" s="2"/>
      <c r="B5" s="2" t="s">
        <v>89</v>
      </c>
    </row>
    <row r="6" customFormat="false" ht="15" hidden="false" customHeight="false" outlineLevel="0" collapsed="false">
      <c r="A6" s="3" t="s">
        <v>90</v>
      </c>
    </row>
    <row r="7" customFormat="false" ht="15" hidden="false" customHeight="false" outlineLevel="0" collapsed="false">
      <c r="A7" s="2"/>
      <c r="B7" s="2" t="s">
        <v>91</v>
      </c>
    </row>
    <row r="8" customFormat="false" ht="15" hidden="false" customHeight="false" outlineLevel="0" collapsed="false">
      <c r="A8" s="2"/>
      <c r="B8" s="2" t="s">
        <v>92</v>
      </c>
    </row>
    <row r="9" customFormat="false" ht="15" hidden="false" customHeight="false" outlineLevel="0" collapsed="false">
      <c r="A9" s="2"/>
      <c r="B9" s="2" t="s">
        <v>93</v>
      </c>
    </row>
    <row r="10" customFormat="false" ht="15" hidden="false" customHeight="false" outlineLevel="0" collapsed="false">
      <c r="A10" s="2"/>
      <c r="B10" s="2" t="s">
        <v>94</v>
      </c>
    </row>
    <row r="11" customFormat="false" ht="15" hidden="false" customHeight="false" outlineLevel="0" collapsed="false">
      <c r="A11" s="3" t="s">
        <v>95</v>
      </c>
    </row>
    <row r="12" customFormat="false" ht="15" hidden="false" customHeight="false" outlineLevel="0" collapsed="false">
      <c r="A12" s="2"/>
      <c r="B12" s="2" t="s">
        <v>96</v>
      </c>
    </row>
    <row r="13" customFormat="false" ht="15" hidden="false" customHeight="false" outlineLevel="0" collapsed="false">
      <c r="A13" s="2"/>
      <c r="B13" s="2" t="s">
        <v>97</v>
      </c>
    </row>
    <row r="14" customFormat="false" ht="15" hidden="false" customHeight="false" outlineLevel="0" collapsed="false">
      <c r="A14" s="3" t="s">
        <v>98</v>
      </c>
    </row>
    <row r="15" customFormat="false" ht="15" hidden="false" customHeight="false" outlineLevel="0" collapsed="false">
      <c r="A15" s="2"/>
      <c r="B15" s="2" t="s">
        <v>99</v>
      </c>
    </row>
    <row r="16" customFormat="false" ht="15" hidden="false" customHeight="false" outlineLevel="0" collapsed="false">
      <c r="A16" s="2" t="s">
        <v>100</v>
      </c>
      <c r="B16" s="2" t="s">
        <v>101</v>
      </c>
    </row>
    <row r="17" customFormat="false" ht="15" hidden="false" customHeight="false" outlineLevel="0" collapsed="false">
      <c r="A17" s="2" t="s">
        <v>102</v>
      </c>
      <c r="B17" s="2" t="s">
        <v>103</v>
      </c>
    </row>
    <row r="18" customFormat="false" ht="15" hidden="false" customHeight="false" outlineLevel="0" collapsed="false">
      <c r="A18" s="2" t="s">
        <v>104</v>
      </c>
      <c r="B18" s="2" t="s">
        <v>105</v>
      </c>
    </row>
    <row r="19" customFormat="false" ht="15" hidden="false" customHeight="false" outlineLevel="0" collapsed="false">
      <c r="A19" s="2"/>
      <c r="B19" s="2" t="s">
        <v>106</v>
      </c>
    </row>
    <row r="20" customFormat="false" ht="15" hidden="false" customHeight="false" outlineLevel="0" collapsed="false">
      <c r="A20" s="2"/>
      <c r="B20" s="2" t="s">
        <v>107</v>
      </c>
    </row>
    <row r="21" customFormat="false" ht="15" hidden="false" customHeight="false" outlineLevel="0" collapsed="false">
      <c r="A21" s="2"/>
      <c r="B21" s="2" t="s">
        <v>108</v>
      </c>
    </row>
    <row r="22" customFormat="false" ht="15" hidden="false" customHeight="false" outlineLevel="0" collapsed="false">
      <c r="A22" s="2"/>
      <c r="B22" s="2" t="s">
        <v>109</v>
      </c>
    </row>
    <row r="23" customFormat="false" ht="15" hidden="false" customHeight="false" outlineLevel="0" collapsed="false">
      <c r="A23" s="3" t="s">
        <v>110</v>
      </c>
    </row>
    <row r="24" customFormat="false" ht="15" hidden="false" customHeight="false" outlineLevel="0" collapsed="false">
      <c r="A24" s="2"/>
      <c r="B24" s="2" t="s">
        <v>111</v>
      </c>
    </row>
    <row r="25" customFormat="false" ht="15" hidden="false" customHeight="false" outlineLevel="0" collapsed="false">
      <c r="A25" s="2"/>
      <c r="B25" s="2" t="s">
        <v>112</v>
      </c>
    </row>
    <row r="26" customFormat="false" ht="15" hidden="false" customHeight="false" outlineLevel="0" collapsed="false">
      <c r="A26" s="2"/>
      <c r="B26" s="2" t="s">
        <v>113</v>
      </c>
    </row>
    <row r="27" customFormat="false" ht="15" hidden="false" customHeight="false" outlineLevel="0" collapsed="false">
      <c r="A27" s="2"/>
      <c r="B27" s="2" t="s">
        <v>114</v>
      </c>
    </row>
    <row r="28" customFormat="false" ht="15" hidden="false" customHeight="false" outlineLevel="0" collapsed="false">
      <c r="A28" s="2"/>
      <c r="B28" s="2" t="s">
        <v>115</v>
      </c>
    </row>
    <row r="29" customFormat="false" ht="15" hidden="false" customHeight="false" outlineLevel="0" collapsed="false">
      <c r="A29" s="3" t="s">
        <v>116</v>
      </c>
    </row>
    <row r="30" customFormat="false" ht="15" hidden="false" customHeight="false" outlineLevel="0" collapsed="false">
      <c r="A30" s="2"/>
      <c r="B30" s="2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2"/>
    <col collapsed="false" customWidth="true" hidden="false" outlineLevel="0" max="9" min="9" style="0" width="7"/>
    <col collapsed="false" customWidth="true" hidden="false" outlineLevel="0" max="10" min="10" style="0" width="5"/>
  </cols>
  <sheetData>
    <row r="1" customFormat="false" ht="16.15" hidden="false" customHeight="false" outlineLevel="0" collapsed="false">
      <c r="A1" s="1" t="s">
        <v>118</v>
      </c>
    </row>
    <row r="2" customFormat="false" ht="15" hidden="false" customHeight="false" outlineLevel="0" collapsed="false">
      <c r="A2" s="2" t="s">
        <v>119</v>
      </c>
    </row>
    <row r="3" customFormat="false" ht="15" hidden="false" customHeight="false" outlineLevel="0" collapsed="false">
      <c r="A3" s="2" t="s">
        <v>120</v>
      </c>
    </row>
    <row r="5" customFormat="false" ht="30" hidden="false" customHeight="true" outlineLevel="0" collapsed="false">
      <c r="A5" s="33" t="s">
        <v>7</v>
      </c>
      <c r="B5" s="33" t="s">
        <v>29</v>
      </c>
      <c r="C5" s="33" t="s">
        <v>39</v>
      </c>
      <c r="D5" s="33" t="s">
        <v>121</v>
      </c>
      <c r="E5" s="33" t="s">
        <v>122</v>
      </c>
      <c r="F5" s="33" t="s">
        <v>123</v>
      </c>
      <c r="G5" s="33" t="s">
        <v>124</v>
      </c>
      <c r="I5" s="2" t="s">
        <v>125</v>
      </c>
      <c r="J5" s="2" t="s">
        <v>126</v>
      </c>
    </row>
    <row r="6" customFormat="false" ht="15" hidden="false" customHeight="false" outlineLevel="0" collapsed="false">
      <c r="A6" s="34" t="s">
        <v>11</v>
      </c>
      <c r="B6" s="35" t="n">
        <v>46178</v>
      </c>
      <c r="C6" s="20" t="n">
        <f aca="false">B6-MarketData!$B$4</f>
        <v>1</v>
      </c>
      <c r="D6" s="36" t="n">
        <v>0.0357641</v>
      </c>
      <c r="E6" s="30" t="n">
        <f aca="false">EXP(INDEX(Bootstrap!$D$39:$D$59,J6)+(INDEX(Bootstrap!$D$39:$D$59,J6+1)-INDEX(Bootstrap!$D$39:$D$59,J6))*(I6-INDEX(Bootstrap!$B$39:$B$59,J6))/(INDEX(Bootstrap!$B$39:$B$59,J6+1)-INDEX(Bootstrap!$B$39:$B$59,J6)))</f>
        <v>0.999900221929449</v>
      </c>
      <c r="F6" s="37" t="n">
        <f aca="false">(1/E6-1)*360/C6</f>
        <v>0.0359236897949611</v>
      </c>
      <c r="G6" s="38" t="n">
        <f aca="false">(F6-D6)*10000</f>
        <v>1.59589794961078</v>
      </c>
      <c r="I6" s="39" t="n">
        <f aca="false">(B6-MarketData!$B$4)/360</f>
        <v>0.00277777777777778</v>
      </c>
      <c r="J6" s="40" t="n">
        <f aca="false">MIN(MATCH(I6,Bootstrap!$B$39:$B$59,1),20)</f>
        <v>1</v>
      </c>
    </row>
    <row r="7" customFormat="false" ht="15" hidden="false" customHeight="false" outlineLevel="0" collapsed="false">
      <c r="A7" s="34" t="s">
        <v>127</v>
      </c>
      <c r="B7" s="35" t="n">
        <v>46213</v>
      </c>
      <c r="C7" s="20" t="n">
        <f aca="false">B7-MarketData!$B$4</f>
        <v>36</v>
      </c>
      <c r="D7" s="36" t="n">
        <v>0.0361229</v>
      </c>
      <c r="E7" s="30" t="n">
        <f aca="false">EXP(INDEX(Bootstrap!$D$39:$D$59,J7)+(INDEX(Bootstrap!$D$39:$D$59,J7+1)-INDEX(Bootstrap!$D$39:$D$59,J7))*(I7-INDEX(Bootstrap!$B$39:$B$59,J7))/(INDEX(Bootstrap!$B$39:$B$59,J7+1)-INDEX(Bootstrap!$B$39:$B$59,J7)))</f>
        <v>0.99638462239531</v>
      </c>
      <c r="F7" s="37" t="n">
        <f aca="false">(1/E7-1)*360/C7</f>
        <v>0.0362849598782256</v>
      </c>
      <c r="G7" s="38" t="n">
        <f aca="false">(F7-D7)*10000</f>
        <v>1.62059878225554</v>
      </c>
      <c r="I7" s="39" t="n">
        <f aca="false">(B7-MarketData!$B$4)/360</f>
        <v>0.1</v>
      </c>
      <c r="J7" s="40" t="n">
        <f aca="false">MIN(MATCH(I7,Bootstrap!$B$39:$B$59,1),20)</f>
        <v>3</v>
      </c>
    </row>
    <row r="8" customFormat="false" ht="15" hidden="false" customHeight="false" outlineLevel="0" collapsed="false">
      <c r="A8" s="34" t="s">
        <v>128</v>
      </c>
      <c r="B8" s="35" t="n">
        <v>46246</v>
      </c>
      <c r="C8" s="20" t="n">
        <f aca="false">B8-MarketData!$B$4</f>
        <v>69</v>
      </c>
      <c r="D8" s="36" t="n">
        <v>0.0363331</v>
      </c>
      <c r="E8" s="30" t="n">
        <f aca="false">EXP(INDEX(Bootstrap!$D$39:$D$59,J8)+(INDEX(Bootstrap!$D$39:$D$59,J8+1)-INDEX(Bootstrap!$D$39:$D$59,J8))*(I8-INDEX(Bootstrap!$B$39:$B$59,J8))/(INDEX(Bootstrap!$B$39:$B$59,J8+1)-INDEX(Bootstrap!$B$39:$B$59,J8)))</f>
        <v>0.993050637999697</v>
      </c>
      <c r="F8" s="37" t="n">
        <f aca="false">(1/E8-1)*360/C8</f>
        <v>0.0365112709097891</v>
      </c>
      <c r="G8" s="38" t="n">
        <f aca="false">(F8-D8)*10000</f>
        <v>1.78170909789131</v>
      </c>
      <c r="I8" s="39" t="n">
        <f aca="false">(B8-MarketData!$B$4)/360</f>
        <v>0.191666666666667</v>
      </c>
      <c r="J8" s="40" t="n">
        <f aca="false">MIN(MATCH(I8,Bootstrap!$B$39:$B$59,1),20)</f>
        <v>3</v>
      </c>
    </row>
    <row r="9" customFormat="false" ht="15" hidden="false" customHeight="false" outlineLevel="0" collapsed="false">
      <c r="A9" s="34" t="s">
        <v>129</v>
      </c>
      <c r="B9" s="35" t="n">
        <v>46275</v>
      </c>
      <c r="C9" s="20" t="n">
        <f aca="false">B9-MarketData!$B$4</f>
        <v>98</v>
      </c>
      <c r="D9" s="36" t="n">
        <v>0.0365327</v>
      </c>
      <c r="E9" s="30" t="n">
        <f aca="false">EXP(INDEX(Bootstrap!$D$39:$D$59,J9)+(INDEX(Bootstrap!$D$39:$D$59,J9+1)-INDEX(Bootstrap!$D$39:$D$59,J9))*(I9-INDEX(Bootstrap!$B$39:$B$59,J9))/(INDEX(Bootstrap!$B$39:$B$59,J9+1)-INDEX(Bootstrap!$B$39:$B$59,J9)))</f>
        <v>0.990129983583405</v>
      </c>
      <c r="F9" s="37" t="n">
        <f aca="false">(1/E9-1)*360/C9</f>
        <v>0.0366186296386905</v>
      </c>
      <c r="G9" s="38" t="n">
        <f aca="false">(F9-D9)*10000</f>
        <v>0.859296386904462</v>
      </c>
      <c r="I9" s="39" t="n">
        <f aca="false">(B9-MarketData!$B$4)/360</f>
        <v>0.272222222222222</v>
      </c>
      <c r="J9" s="40" t="n">
        <f aca="false">MIN(MATCH(I9,Bootstrap!$B$39:$B$59,1),20)</f>
        <v>3</v>
      </c>
    </row>
    <row r="10" customFormat="false" ht="15" hidden="false" customHeight="false" outlineLevel="0" collapsed="false">
      <c r="A10" s="34" t="s">
        <v>130</v>
      </c>
      <c r="B10" s="35" t="n">
        <v>46308</v>
      </c>
      <c r="C10" s="20" t="n">
        <f aca="false">B10-MarketData!$B$4</f>
        <v>131</v>
      </c>
      <c r="D10" s="36" t="n">
        <v>0.0367449</v>
      </c>
      <c r="E10" s="30" t="n">
        <f aca="false">EXP(INDEX(Bootstrap!$D$39:$D$59,J10)+(INDEX(Bootstrap!$D$39:$D$59,J10+1)-INDEX(Bootstrap!$D$39:$D$59,J10))*(I10-INDEX(Bootstrap!$B$39:$B$59,J10))/(INDEX(Bootstrap!$B$39:$B$59,J10+1)-INDEX(Bootstrap!$B$39:$B$59,J10)))</f>
        <v>0.986774280191052</v>
      </c>
      <c r="F10" s="37" t="n">
        <f aca="false">(1/E10-1)*360/C10</f>
        <v>0.0368326275632881</v>
      </c>
      <c r="G10" s="38" t="n">
        <f aca="false">(F10-D10)*10000</f>
        <v>0.87727563288148</v>
      </c>
      <c r="I10" s="39" t="n">
        <f aca="false">(B10-MarketData!$B$4)/360</f>
        <v>0.363888888888889</v>
      </c>
      <c r="J10" s="40" t="n">
        <f aca="false">MIN(MATCH(I10,Bootstrap!$B$39:$B$59,1),20)</f>
        <v>4</v>
      </c>
    </row>
    <row r="11" customFormat="false" ht="15" hidden="false" customHeight="false" outlineLevel="0" collapsed="false">
      <c r="A11" s="34" t="s">
        <v>131</v>
      </c>
      <c r="B11" s="35" t="n">
        <v>46338</v>
      </c>
      <c r="C11" s="20" t="n">
        <f aca="false">B11-MarketData!$B$4</f>
        <v>161</v>
      </c>
      <c r="D11" s="36" t="n">
        <v>0.0369724</v>
      </c>
      <c r="E11" s="30" t="n">
        <f aca="false">EXP(INDEX(Bootstrap!$D$39:$D$59,J11)+(INDEX(Bootstrap!$D$39:$D$59,J11+1)-INDEX(Bootstrap!$D$39:$D$59,J11))*(I11-INDEX(Bootstrap!$B$39:$B$59,J11))/(INDEX(Bootstrap!$B$39:$B$59,J11+1)-INDEX(Bootstrap!$B$39:$B$59,J11)))</f>
        <v>0.983706498274947</v>
      </c>
      <c r="F11" s="37" t="n">
        <f aca="false">(1/E11-1)*360/C11</f>
        <v>0.0370361227953712</v>
      </c>
      <c r="G11" s="38" t="n">
        <f aca="false">(F11-D11)*10000</f>
        <v>0.6372279537116</v>
      </c>
      <c r="I11" s="39" t="n">
        <f aca="false">(B11-MarketData!$B$4)/360</f>
        <v>0.447222222222222</v>
      </c>
      <c r="J11" s="40" t="n">
        <f aca="false">MIN(MATCH(I11,Bootstrap!$B$39:$B$59,1),20)</f>
        <v>5</v>
      </c>
    </row>
    <row r="12" customFormat="false" ht="15" hidden="false" customHeight="false" outlineLevel="0" collapsed="false">
      <c r="A12" s="34" t="s">
        <v>132</v>
      </c>
      <c r="B12" s="35" t="n">
        <v>46366</v>
      </c>
      <c r="C12" s="20" t="n">
        <f aca="false">B12-MarketData!$B$4</f>
        <v>189</v>
      </c>
      <c r="D12" s="36" t="n">
        <v>0.0371647</v>
      </c>
      <c r="E12" s="30" t="n">
        <f aca="false">EXP(INDEX(Bootstrap!$D$39:$D$59,J12)+(INDEX(Bootstrap!$D$39:$D$59,J12+1)-INDEX(Bootstrap!$D$39:$D$59,J12))*(I12-INDEX(Bootstrap!$B$39:$B$59,J12))/(INDEX(Bootstrap!$B$39:$B$59,J12+1)-INDEX(Bootstrap!$B$39:$B$59,J12)))</f>
        <v>0.980834178363196</v>
      </c>
      <c r="F12" s="37" t="n">
        <f aca="false">(1/E12-1)*360/C12</f>
        <v>0.0372196725323825</v>
      </c>
      <c r="G12" s="38" t="n">
        <f aca="false">(F12-D12)*10000</f>
        <v>0.549725323824579</v>
      </c>
      <c r="I12" s="39" t="n">
        <f aca="false">(B12-MarketData!$B$4)/360</f>
        <v>0.525</v>
      </c>
      <c r="J12" s="40" t="n">
        <f aca="false">MIN(MATCH(I12,Bootstrap!$B$39:$B$59,1),20)</f>
        <v>6</v>
      </c>
    </row>
    <row r="13" customFormat="false" ht="15" hidden="false" customHeight="false" outlineLevel="0" collapsed="false">
      <c r="A13" s="34" t="s">
        <v>133</v>
      </c>
      <c r="B13" s="35" t="n">
        <v>46399</v>
      </c>
      <c r="C13" s="20" t="n">
        <f aca="false">B13-MarketData!$B$4</f>
        <v>222</v>
      </c>
      <c r="D13" s="36" t="n">
        <v>0.0374783</v>
      </c>
      <c r="E13" s="30" t="n">
        <f aca="false">EXP(INDEX(Bootstrap!$D$39:$D$59,J13)+(INDEX(Bootstrap!$D$39:$D$59,J13+1)-INDEX(Bootstrap!$D$39:$D$59,J13))*(I13-INDEX(Bootstrap!$B$39:$B$59,J13))/(INDEX(Bootstrap!$B$39:$B$59,J13+1)-INDEX(Bootstrap!$B$39:$B$59,J13)))</f>
        <v>0.977374656945771</v>
      </c>
      <c r="F13" s="37" t="n">
        <f aca="false">(1/E13-1)*360/C13</f>
        <v>0.0375390800575869</v>
      </c>
      <c r="G13" s="38" t="n">
        <f aca="false">(F13-D13)*10000</f>
        <v>0.607800575868761</v>
      </c>
      <c r="I13" s="39" t="n">
        <f aca="false">(B13-MarketData!$B$4)/360</f>
        <v>0.616666666666667</v>
      </c>
      <c r="J13" s="40" t="n">
        <f aca="false">MIN(MATCH(I13,Bootstrap!$B$39:$B$59,1),20)</f>
        <v>6</v>
      </c>
    </row>
    <row r="14" customFormat="false" ht="15" hidden="false" customHeight="false" outlineLevel="0" collapsed="false">
      <c r="A14" s="34" t="s">
        <v>134</v>
      </c>
      <c r="B14" s="35" t="n">
        <v>46428</v>
      </c>
      <c r="C14" s="20" t="n">
        <f aca="false">B14-MarketData!$B$4</f>
        <v>251</v>
      </c>
      <c r="D14" s="36" t="n">
        <v>0.0377353</v>
      </c>
      <c r="E14" s="30" t="n">
        <f aca="false">EXP(INDEX(Bootstrap!$D$39:$D$59,J14)+(INDEX(Bootstrap!$D$39:$D$59,J14+1)-INDEX(Bootstrap!$D$39:$D$59,J14))*(I14-INDEX(Bootstrap!$B$39:$B$59,J14))/(INDEX(Bootstrap!$B$39:$B$59,J14+1)-INDEX(Bootstrap!$B$39:$B$59,J14)))</f>
        <v>0.974344756116923</v>
      </c>
      <c r="F14" s="37" t="n">
        <f aca="false">(1/E14-1)*360/C14</f>
        <v>0.0377652422283882</v>
      </c>
      <c r="G14" s="38" t="n">
        <f aca="false">(F14-D14)*10000</f>
        <v>0.2994222838823</v>
      </c>
      <c r="I14" s="39" t="n">
        <f aca="false">(B14-MarketData!$B$4)/360</f>
        <v>0.697222222222222</v>
      </c>
      <c r="J14" s="40" t="n">
        <f aca="false">MIN(MATCH(I14,Bootstrap!$B$39:$B$59,1),20)</f>
        <v>7</v>
      </c>
    </row>
    <row r="15" customFormat="false" ht="15" hidden="false" customHeight="false" outlineLevel="0" collapsed="false">
      <c r="A15" s="34" t="s">
        <v>135</v>
      </c>
      <c r="B15" s="35" t="n">
        <v>46456</v>
      </c>
      <c r="C15" s="20" t="n">
        <f aca="false">B15-MarketData!$B$4</f>
        <v>279</v>
      </c>
      <c r="D15" s="36" t="n">
        <v>0.0379217</v>
      </c>
      <c r="E15" s="30" t="n">
        <f aca="false">EXP(INDEX(Bootstrap!$D$39:$D$59,J15)+(INDEX(Bootstrap!$D$39:$D$59,J15+1)-INDEX(Bootstrap!$D$39:$D$59,J15))*(I15-INDEX(Bootstrap!$B$39:$B$59,J15))/(INDEX(Bootstrap!$B$39:$B$59,J15+1)-INDEX(Bootstrap!$B$39:$B$59,J15)))</f>
        <v>0.971428496314793</v>
      </c>
      <c r="F15" s="37" t="n">
        <f aca="false">(1/E15-1)*360/C15</f>
        <v>0.0379507668427119</v>
      </c>
      <c r="G15" s="38" t="n">
        <f aca="false">(F15-D15)*10000</f>
        <v>0.290668427119084</v>
      </c>
      <c r="I15" s="39" t="n">
        <f aca="false">(B15-MarketData!$B$4)/360</f>
        <v>0.775</v>
      </c>
      <c r="J15" s="40" t="n">
        <f aca="false">MIN(MATCH(I15,Bootstrap!$B$39:$B$59,1),20)</f>
        <v>7</v>
      </c>
    </row>
    <row r="16" customFormat="false" ht="15" hidden="false" customHeight="false" outlineLevel="0" collapsed="false">
      <c r="A16" s="34" t="s">
        <v>136</v>
      </c>
      <c r="B16" s="35" t="n">
        <v>46489</v>
      </c>
      <c r="C16" s="20" t="n">
        <f aca="false">B16-MarketData!$B$4</f>
        <v>312</v>
      </c>
      <c r="D16" s="36" t="n">
        <v>0.0381585</v>
      </c>
      <c r="E16" s="30" t="n">
        <f aca="false">EXP(INDEX(Bootstrap!$D$39:$D$59,J16)+(INDEX(Bootstrap!$D$39:$D$59,J16+1)-INDEX(Bootstrap!$D$39:$D$59,J16))*(I16-INDEX(Bootstrap!$B$39:$B$59,J16))/(INDEX(Bootstrap!$B$39:$B$59,J16+1)-INDEX(Bootstrap!$B$39:$B$59,J16)))</f>
        <v>0.967958682564406</v>
      </c>
      <c r="F16" s="37" t="n">
        <f aca="false">(1/E16-1)*360/C16</f>
        <v>0.0381945547399584</v>
      </c>
      <c r="G16" s="38" t="n">
        <f aca="false">(F16-D16)*10000</f>
        <v>0.360547399583591</v>
      </c>
      <c r="I16" s="39" t="n">
        <f aca="false">(B16-MarketData!$B$4)/360</f>
        <v>0.866666666666667</v>
      </c>
      <c r="J16" s="40" t="n">
        <f aca="false">MIN(MATCH(I16,Bootstrap!$B$39:$B$59,1),20)</f>
        <v>8</v>
      </c>
    </row>
    <row r="17" customFormat="false" ht="15" hidden="false" customHeight="false" outlineLevel="0" collapsed="false">
      <c r="A17" s="34" t="s">
        <v>137</v>
      </c>
      <c r="B17" s="35" t="n">
        <v>46519</v>
      </c>
      <c r="C17" s="20" t="n">
        <f aca="false">B17-MarketData!$B$4</f>
        <v>342</v>
      </c>
      <c r="D17" s="36" t="n">
        <v>0.0384102</v>
      </c>
      <c r="E17" s="30" t="n">
        <f aca="false">EXP(INDEX(Bootstrap!$D$39:$D$59,J17)+(INDEX(Bootstrap!$D$39:$D$59,J17+1)-INDEX(Bootstrap!$D$39:$D$59,J17))*(I17-INDEX(Bootstrap!$B$39:$B$59,J17))/(INDEX(Bootstrap!$B$39:$B$59,J17+1)-INDEX(Bootstrap!$B$39:$B$59,J17)))</f>
        <v>0.964780075779053</v>
      </c>
      <c r="F17" s="37" t="n">
        <f aca="false">(1/E17-1)*360/C17</f>
        <v>0.0384270004883395</v>
      </c>
      <c r="G17" s="38" t="n">
        <f aca="false">(F17-D17)*10000</f>
        <v>0.168004883394912</v>
      </c>
      <c r="I17" s="39" t="n">
        <f aca="false">(B17-MarketData!$B$4)/360</f>
        <v>0.95</v>
      </c>
      <c r="J17" s="40" t="n">
        <f aca="false">MIN(MATCH(I17,Bootstrap!$B$39:$B$59,1),20)</f>
        <v>9</v>
      </c>
    </row>
    <row r="18" customFormat="false" ht="15" hidden="false" customHeight="false" outlineLevel="0" collapsed="false">
      <c r="A18" s="34" t="s">
        <v>138</v>
      </c>
      <c r="B18" s="35" t="n">
        <v>46548</v>
      </c>
      <c r="C18" s="20" t="n">
        <f aca="false">B18-MarketData!$B$4</f>
        <v>371</v>
      </c>
      <c r="D18" s="36" t="n">
        <v>0.038634</v>
      </c>
      <c r="E18" s="30" t="n">
        <f aca="false">EXP(INDEX(Bootstrap!$D$39:$D$59,J18)+(INDEX(Bootstrap!$D$39:$D$59,J18+1)-INDEX(Bootstrap!$D$39:$D$59,J18))*(I18-INDEX(Bootstrap!$B$39:$B$59,J18))/(INDEX(Bootstrap!$B$39:$B$59,J18+1)-INDEX(Bootstrap!$B$39:$B$59,J18)))</f>
        <v>0.961689334341084</v>
      </c>
      <c r="F18" s="37" t="n">
        <f aca="false">(1/E18-1)*360/C18</f>
        <v>0.0386556953312655</v>
      </c>
      <c r="G18" s="38" t="n">
        <f aca="false">(F18-D18)*10000</f>
        <v>0.216953312654478</v>
      </c>
      <c r="I18" s="39" t="n">
        <f aca="false">(B18-MarketData!$B$4)/360</f>
        <v>1.03055555555556</v>
      </c>
      <c r="J18" s="40" t="n">
        <f aca="false">MIN(MATCH(I18,Bootstrap!$B$39:$B$59,1),20)</f>
        <v>10</v>
      </c>
    </row>
    <row r="19" customFormat="false" ht="15" hidden="false" customHeight="false" outlineLevel="0" collapsed="false">
      <c r="A19" s="34" t="s">
        <v>139</v>
      </c>
      <c r="B19" s="35" t="n">
        <v>46640</v>
      </c>
      <c r="C19" s="20" t="n">
        <f aca="false">B19-MarketData!$B$4</f>
        <v>463</v>
      </c>
      <c r="D19" s="36" t="n">
        <v>0.0389056</v>
      </c>
      <c r="E19" s="30" t="n">
        <f aca="false">EXP(INDEX(Bootstrap!$D$39:$D$59,J19)+(INDEX(Bootstrap!$D$39:$D$59,J19+1)-INDEX(Bootstrap!$D$39:$D$59,J19))*(I19-INDEX(Bootstrap!$B$39:$B$59,J19))/(INDEX(Bootstrap!$B$39:$B$59,J19+1)-INDEX(Bootstrap!$B$39:$B$59,J19)))</f>
        <v>0.951962190095739</v>
      </c>
      <c r="F19" s="37" t="n">
        <f aca="false">(1-E19)/(C9/360*E9+(C19-C9)/360*E19)</f>
        <v>0.0389058557756197</v>
      </c>
      <c r="G19" s="38" t="n">
        <f aca="false">(F19-D19)*10000</f>
        <v>0.00255775619732723</v>
      </c>
      <c r="I19" s="39" t="n">
        <f aca="false">(B19-MarketData!$B$4)/360</f>
        <v>1.28611111111111</v>
      </c>
      <c r="J19" s="40" t="n">
        <f aca="false">MIN(MATCH(I19,Bootstrap!$B$39:$B$59,1),20)</f>
        <v>11</v>
      </c>
    </row>
    <row r="20" customFormat="false" ht="15" hidden="false" customHeight="false" outlineLevel="0" collapsed="false">
      <c r="A20" s="34" t="s">
        <v>140</v>
      </c>
      <c r="B20" s="35" t="n">
        <v>46731</v>
      </c>
      <c r="C20" s="20" t="n">
        <f aca="false">B20-MarketData!$B$4</f>
        <v>554</v>
      </c>
      <c r="D20" s="36" t="n">
        <v>0.0391016</v>
      </c>
      <c r="E20" s="30" t="n">
        <f aca="false">EXP(INDEX(Bootstrap!$D$39:$D$59,J20)+(INDEX(Bootstrap!$D$39:$D$59,J20+1)-INDEX(Bootstrap!$D$39:$D$59,J20))*(I20-INDEX(Bootstrap!$B$39:$B$59,J20))/(INDEX(Bootstrap!$B$39:$B$59,J20+1)-INDEX(Bootstrap!$B$39:$B$59,J20)))</f>
        <v>0.94245334374079</v>
      </c>
      <c r="F20" s="37" t="n">
        <f aca="false">(1-E20)/(C12/360*E12+(C20-C12)/360*E20)</f>
        <v>0.0391345821546077</v>
      </c>
      <c r="G20" s="38" t="n">
        <f aca="false">(F20-D20)*10000</f>
        <v>0.329821546076539</v>
      </c>
      <c r="I20" s="39" t="n">
        <f aca="false">(B20-MarketData!$B$4)/360</f>
        <v>1.53888888888889</v>
      </c>
      <c r="J20" s="40" t="n">
        <f aca="false">MIN(MATCH(I20,Bootstrap!$B$39:$B$59,1),20)</f>
        <v>12</v>
      </c>
    </row>
    <row r="21" customFormat="false" ht="15" hidden="false" customHeight="false" outlineLevel="0" collapsed="false">
      <c r="A21" s="34" t="s">
        <v>141</v>
      </c>
      <c r="B21" s="35" t="n">
        <v>46822</v>
      </c>
      <c r="C21" s="20" t="n">
        <f aca="false">B21-MarketData!$B$4</f>
        <v>645</v>
      </c>
      <c r="D21" s="36" t="n">
        <v>0.0392184</v>
      </c>
      <c r="E21" s="30" t="n">
        <f aca="false">EXP(INDEX(Bootstrap!$D$39:$D$59,J21)+(INDEX(Bootstrap!$D$39:$D$59,J21+1)-INDEX(Bootstrap!$D$39:$D$59,J21))*(I21-INDEX(Bootstrap!$B$39:$B$59,J21))/(INDEX(Bootstrap!$B$39:$B$59,J21+1)-INDEX(Bootstrap!$B$39:$B$59,J21)))</f>
        <v>0.933093665300715</v>
      </c>
      <c r="F21" s="37" t="n">
        <f aca="false">(1-E21)/(C15/360*E15+(C21-C15)/360*E21)</f>
        <v>0.0393219182045449</v>
      </c>
      <c r="G21" s="38" t="n">
        <f aca="false">(F21-D21)*10000</f>
        <v>1.0351820454485</v>
      </c>
      <c r="I21" s="39" t="n">
        <f aca="false">(B21-MarketData!$B$4)/360</f>
        <v>1.79166666666667</v>
      </c>
      <c r="J21" s="40" t="n">
        <f aca="false">MIN(MATCH(I21,Bootstrap!$B$39:$B$59,1),20)</f>
        <v>13</v>
      </c>
    </row>
    <row r="22" customFormat="false" ht="15" hidden="false" customHeight="false" outlineLevel="0" collapsed="false">
      <c r="A22" s="34" t="s">
        <v>142</v>
      </c>
      <c r="B22" s="35" t="n">
        <v>46916</v>
      </c>
      <c r="C22" s="20" t="n">
        <f aca="false">B22-MarketData!$B$4</f>
        <v>739</v>
      </c>
      <c r="D22" s="36" t="n">
        <v>0.0392987</v>
      </c>
      <c r="E22" s="30" t="n">
        <f aca="false">EXP(INDEX(Bootstrap!$D$39:$D$59,J22)+(INDEX(Bootstrap!$D$39:$D$59,J22+1)-INDEX(Bootstrap!$D$39:$D$59,J22))*(I22-INDEX(Bootstrap!$B$39:$B$59,J22))/(INDEX(Bootstrap!$B$39:$B$59,J22+1)-INDEX(Bootstrap!$B$39:$B$59,J22)))</f>
        <v>0.923659081781522</v>
      </c>
      <c r="F22" s="37" t="n">
        <f aca="false">(1-E22)/F30</f>
        <v>0.0394473883199286</v>
      </c>
      <c r="G22" s="38" t="n">
        <f aca="false">(F22-D22)*10000</f>
        <v>1.48688319928564</v>
      </c>
      <c r="I22" s="39" t="n">
        <f aca="false">(B22-MarketData!$B$4)/360</f>
        <v>2.05277777777778</v>
      </c>
      <c r="J22" s="40" t="n">
        <f aca="false">MIN(MATCH(I22,Bootstrap!$B$39:$B$59,1),20)</f>
        <v>14</v>
      </c>
    </row>
    <row r="23" customFormat="false" ht="15" hidden="false" customHeight="false" outlineLevel="0" collapsed="false">
      <c r="A23" s="34" t="s">
        <v>143</v>
      </c>
      <c r="B23" s="35" t="n">
        <v>47281</v>
      </c>
      <c r="C23" s="20" t="n">
        <f aca="false">B23-MarketData!$B$4</f>
        <v>1104</v>
      </c>
      <c r="D23" s="36" t="n">
        <v>0.0391685</v>
      </c>
      <c r="E23" s="30" t="n">
        <f aca="false">EXP(INDEX(Bootstrap!$D$39:$D$59,J23)+(INDEX(Bootstrap!$D$39:$D$59,J23+1)-INDEX(Bootstrap!$D$39:$D$59,J23))*(I23-INDEX(Bootstrap!$B$39:$B$59,J23))/(INDEX(Bootstrap!$B$39:$B$59,J23+1)-INDEX(Bootstrap!$B$39:$B$59,J23)))</f>
        <v>0.888567467241178</v>
      </c>
      <c r="F23" s="37" t="n">
        <f aca="false">(1-E23)/F31</f>
        <v>0.0392898235663</v>
      </c>
      <c r="G23" s="38" t="n">
        <f aca="false">(F23-D23)*10000</f>
        <v>1.21323566300006</v>
      </c>
      <c r="I23" s="39" t="n">
        <f aca="false">(B23-MarketData!$B$4)/360</f>
        <v>3.06666666666667</v>
      </c>
      <c r="J23" s="40" t="n">
        <f aca="false">MIN(MATCH(I23,Bootstrap!$B$39:$B$59,1),20)</f>
        <v>18</v>
      </c>
    </row>
    <row r="24" customFormat="false" ht="15" hidden="false" customHeight="false" outlineLevel="0" collapsed="false">
      <c r="A24" s="34" t="s">
        <v>144</v>
      </c>
      <c r="B24" s="35" t="n">
        <v>47646</v>
      </c>
      <c r="C24" s="20" t="n">
        <f aca="false">B24-MarketData!$B$4</f>
        <v>1469</v>
      </c>
      <c r="D24" s="36" t="n">
        <v>0.0391098</v>
      </c>
      <c r="E24" s="30" t="n">
        <f aca="false">EXP(INDEX(Bootstrap!$D$39:$D$59,J24)+(INDEX(Bootstrap!$D$39:$D$59,J24+1)-INDEX(Bootstrap!$D$39:$D$59,J24))*(I24-INDEX(Bootstrap!$B$39:$B$59,J24))/(INDEX(Bootstrap!$B$39:$B$59,J24+1)-INDEX(Bootstrap!$B$39:$B$59,J24)))</f>
        <v>0.855171829486157</v>
      </c>
      <c r="F24" s="37" t="n">
        <f aca="false">(1-E24)/F32</f>
        <v>0.0391087450713216</v>
      </c>
      <c r="G24" s="38" t="n">
        <f aca="false">(F24-D24)*10000</f>
        <v>-0.0105492867839146</v>
      </c>
      <c r="I24" s="39" t="n">
        <f aca="false">(B24-MarketData!$B$4)/360</f>
        <v>4.08055555555556</v>
      </c>
      <c r="J24" s="40" t="n">
        <f aca="false">MIN(MATCH(I24,Bootstrap!$B$39:$B$59,1),20)</f>
        <v>20</v>
      </c>
    </row>
    <row r="25" customFormat="false" ht="15" hidden="false" customHeight="false" outlineLevel="0" collapsed="false">
      <c r="A25" s="34" t="s">
        <v>145</v>
      </c>
      <c r="B25" s="35" t="n">
        <v>48010</v>
      </c>
      <c r="C25" s="20" t="n">
        <f aca="false">B25-MarketData!$B$4</f>
        <v>1833</v>
      </c>
      <c r="D25" s="36" t="n">
        <v>0.0392161</v>
      </c>
      <c r="E25" s="30" t="n">
        <f aca="false">EXP(INDEX(Bootstrap!$D$39:$D$59,J25)+(INDEX(Bootstrap!$D$39:$D$59,J25+1)-INDEX(Bootstrap!$D$39:$D$59,J25))*(I25-INDEX(Bootstrap!$B$39:$B$59,J25))/(INDEX(Bootstrap!$B$39:$B$59,J25+1)-INDEX(Bootstrap!$B$39:$B$59,J25)))</f>
        <v>0.822183379520604</v>
      </c>
      <c r="F25" s="37" t="n">
        <f aca="false">(1-E25)/F33</f>
        <v>0.0392138532691079</v>
      </c>
      <c r="G25" s="38" t="n">
        <f aca="false">(F25-D25)*10000</f>
        <v>-0.022467308921359</v>
      </c>
      <c r="I25" s="39" t="n">
        <f aca="false">(B25-MarketData!$B$4)/360</f>
        <v>5.09166666666667</v>
      </c>
      <c r="J25" s="40" t="n">
        <f aca="false">MIN(MATCH(I25,Bootstrap!$B$39:$B$59,1),20)</f>
        <v>20</v>
      </c>
    </row>
    <row r="27" customFormat="false" ht="15" hidden="false" customHeight="false" outlineLevel="0" collapsed="false">
      <c r="A27" s="6" t="s">
        <v>146</v>
      </c>
    </row>
    <row r="28" customFormat="false" ht="15" hidden="false" customHeight="false" outlineLevel="0" collapsed="false">
      <c r="A28" s="7" t="s">
        <v>147</v>
      </c>
      <c r="B28" s="7" t="s">
        <v>32</v>
      </c>
      <c r="C28" s="7" t="s">
        <v>39</v>
      </c>
      <c r="D28" s="7" t="s">
        <v>40</v>
      </c>
      <c r="E28" s="7" t="s">
        <v>33</v>
      </c>
      <c r="F28" s="7" t="s">
        <v>148</v>
      </c>
    </row>
    <row r="29" customFormat="false" ht="15" hidden="false" customHeight="false" outlineLevel="0" collapsed="false">
      <c r="A29" s="41" t="n">
        <v>1</v>
      </c>
      <c r="B29" s="16" t="n">
        <f aca="false">B18</f>
        <v>46548</v>
      </c>
      <c r="C29" s="42" t="n">
        <f aca="false">C18</f>
        <v>371</v>
      </c>
      <c r="D29" s="21" t="n">
        <f aca="false">C29/360</f>
        <v>1.03055555555556</v>
      </c>
      <c r="E29" s="30" t="n">
        <f aca="false">E18</f>
        <v>0.961689334341084</v>
      </c>
      <c r="F29" s="28" t="n">
        <f aca="false">D29*E29</f>
        <v>0.991074286223728</v>
      </c>
    </row>
    <row r="30" customFormat="false" ht="15" hidden="false" customHeight="false" outlineLevel="0" collapsed="false">
      <c r="A30" s="41" t="n">
        <v>2</v>
      </c>
      <c r="B30" s="16" t="n">
        <f aca="false">B22</f>
        <v>46916</v>
      </c>
      <c r="C30" s="42" t="n">
        <f aca="false">C22</f>
        <v>739</v>
      </c>
      <c r="D30" s="21" t="n">
        <f aca="false">(C30-C29)/360</f>
        <v>1.02222222222222</v>
      </c>
      <c r="E30" s="30" t="n">
        <f aca="false">E22</f>
        <v>0.923659081781522</v>
      </c>
      <c r="F30" s="28" t="n">
        <f aca="false">F29+D30*E30</f>
        <v>1.93525912537817</v>
      </c>
    </row>
    <row r="31" customFormat="false" ht="15" hidden="false" customHeight="false" outlineLevel="0" collapsed="false">
      <c r="A31" s="41" t="n">
        <v>3</v>
      </c>
      <c r="B31" s="16" t="n">
        <f aca="false">B23</f>
        <v>47281</v>
      </c>
      <c r="C31" s="42" t="n">
        <f aca="false">C23</f>
        <v>1104</v>
      </c>
      <c r="D31" s="21" t="n">
        <f aca="false">(C31-C30)/360</f>
        <v>1.01388888888889</v>
      </c>
      <c r="E31" s="30" t="n">
        <f aca="false">E23</f>
        <v>0.888567467241178</v>
      </c>
      <c r="F31" s="28" t="n">
        <f aca="false">F30+D31*E31</f>
        <v>2.83616780744215</v>
      </c>
    </row>
    <row r="32" customFormat="false" ht="15" hidden="false" customHeight="false" outlineLevel="0" collapsed="false">
      <c r="A32" s="41" t="n">
        <v>4</v>
      </c>
      <c r="B32" s="16" t="n">
        <f aca="false">B24</f>
        <v>47646</v>
      </c>
      <c r="C32" s="42" t="n">
        <f aca="false">C24</f>
        <v>1469</v>
      </c>
      <c r="D32" s="21" t="n">
        <f aca="false">(C32-C31)/360</f>
        <v>1.01388888888889</v>
      </c>
      <c r="E32" s="30" t="n">
        <f aca="false">E24</f>
        <v>0.855171829486157</v>
      </c>
      <c r="F32" s="28" t="n">
        <f aca="false">F31+D32*E32</f>
        <v>3.70321702344894</v>
      </c>
    </row>
    <row r="33" customFormat="false" ht="15" hidden="false" customHeight="false" outlineLevel="0" collapsed="false">
      <c r="A33" s="41" t="n">
        <v>5</v>
      </c>
      <c r="B33" s="16" t="n">
        <f aca="false">B25</f>
        <v>48010</v>
      </c>
      <c r="C33" s="42" t="n">
        <f aca="false">C25</f>
        <v>1833</v>
      </c>
      <c r="D33" s="21" t="n">
        <f aca="false">(C33-C32)/360</f>
        <v>1.01111111111111</v>
      </c>
      <c r="E33" s="30" t="n">
        <f aca="false">E25</f>
        <v>0.822183379520604</v>
      </c>
      <c r="F33" s="28" t="n">
        <f aca="false">F32+D33*E33</f>
        <v>4.53453577385311</v>
      </c>
    </row>
    <row r="36" customFormat="false" ht="15" hidden="false" customHeight="false" outlineLevel="0" collapsed="false">
      <c r="A36" s="3" t="s">
        <v>149</v>
      </c>
      <c r="C36" s="32" t="n">
        <f aca="false" t="array" ref="C36:C36">AVERAGE(ABS(G6:G25))</f>
        <v>0.698291240764811</v>
      </c>
    </row>
    <row r="37" customFormat="false" ht="15" hidden="false" customHeight="false" outlineLevel="0" collapsed="false">
      <c r="A37" s="3" t="s">
        <v>150</v>
      </c>
      <c r="C37" s="32" t="n">
        <f aca="false" t="array" ref="C37:C37">MAX(ABS(G6:G25))</f>
        <v>1.78170909789131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2026-06-08T13:30:36Z</dcterms:created>
  <dc:creator>openpyxl</dc:creator>
  <dc:description/>
  <dc:language>en-US</dc:language>
  <cp:lastModifiedBy/>
  <dcterms:modified xsi:type="dcterms:W3CDTF">2026-06-08T13:30:36Z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