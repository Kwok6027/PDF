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7db1a01d2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FR Inputs" sheetId="1" r:id="R9080383300da4e61"/>
    <x:sheet xmlns:r="http://schemas.openxmlformats.org/officeDocument/2006/relationships" name="Annual Grid" sheetId="2" r:id="Rb7234866bad7485f"/>
    <x:sheet xmlns:r="http://schemas.openxmlformats.org/officeDocument/2006/relationships" name="DF Method" sheetId="3" r:id="Refc1e96cecef4eaf"/>
    <x:sheet xmlns:r="http://schemas.openxmlformats.org/officeDocument/2006/relationships" name="Summary" sheetId="4" r:id="Rb26bf9c7b7d4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dd-mmm-yyyy"/>
    <x:numFmt numFmtId="201" formatCode="0.000000000000000"/>
    <x:numFmt numFmtId="202" formatCode="0.0000"/>
    <x:numFmt numFmtId="203" formatCode="0.0000%"/>
    <x:numFmt numFmtId="204" formatCode="0.000000"/>
    <x:numFmt numFmtId="205" formatCode="0"/>
    <x:numFmt numFmtId="206" formatCode="0.000"/>
    <x:numFmt numFmtId="207" formatCode="0.00%"/>
    <x:numFmt numFmtId="208" formatCode="0.000000000"/>
    <x:numFmt numFmtId="209" formatCode="0.0000;[Red](0.0000);-"/>
  </x:numFmts>
  <x:fonts count="7">
    <x:font>
      <x:sz val="11"/>
      <x:name val="Carlito"/>
    </x:font>
    <x:font>
      <x:b/>
      <x:sz val="14"/>
      <x:color rgb="FFFFFFFF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3"/>
      <x:color rgb="FFFFFFFF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3" fontId="4" fillId="4" borderId="0" xfId="0" applyNumberFormat="1" applyFont="1" applyFill="1" applyBorder="1"/>
    <x:xf numFmtId="0" fontId="0" fillId="4" borderId="0" xfId="0" applyNumberFormat="1" applyFont="1" applyFill="1" applyBorder="1"/>
    <x:xf numFmtId="201" fontId="2" fillId="4" borderId="0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203" fontId="4" fillId="4" borderId="1" xfId="0" applyNumberFormat="1" applyFont="1" applyFill="1" applyBorder="1"/>
    <x:xf numFmtId="0" fontId="0" fillId="4" borderId="1" xfId="0" applyNumberFormat="1" applyFont="1" applyFill="1" applyBorder="1"/>
    <x:xf numFmtId="201" fontId="2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4" fontId="2" fillId="0" borderId="1" xfId="0" applyNumberFormat="1" applyFont="1" applyFill="1" applyBorder="1"/>
    <x:xf numFmtId="205" fontId="2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6" fontId="2" fillId="0" borderId="0" xfId="0" applyNumberFormat="1" applyFont="1" applyFill="1" applyBorder="1"/>
    <x:xf numFmtId="206" fontId="2" fillId="0" borderId="1" xfId="0" applyNumberFormat="1" applyFont="1" applyFill="1" applyBorder="1"/>
    <x:xf numFmtId="204" fontId="2" fillId="5" borderId="0" xfId="0" applyNumberFormat="1" applyFont="1" applyFill="1" applyBorder="1"/>
    <x:xf numFmtId="204" fontId="2" fillId="5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209" fontId="4" fillId="0" borderId="0" xfId="0" applyNumberFormat="1" applyFont="1" applyFill="1" applyBorder="1"/>
    <x:xf numFmtId="209" fontId="4" fillId="0" borderId="1" xfId="0" applyNumberFormat="1" applyFont="1" applyFill="1" applyBorder="1"/>
    <x:xf numFmtId="209" fontId="2" fillId="0" borderId="0" xfId="0" applyNumberFormat="1" applyFont="1" applyFill="1" applyBorder="1"/>
    <x:xf numFmtId="209" fontId="2" fillId="5" borderId="0" xfId="0" applyNumberFormat="1" applyFont="1" applyFill="1" applyBorder="1"/>
    <x:xf numFmtId="209" fontId="2" fillId="0" borderId="1" xfId="0" applyNumberFormat="1" applyFont="1" applyFill="1" applyBorder="1"/>
    <x:xf numFmtId="209" fontId="2" fillId="5" borderId="1" xfId="0" applyNumberFormat="1" applyFont="1" applyFill="1" applyBorder="1"/>
    <x:xf numFmtId="209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929c8d0c84eaa" /><Relationship Type="http://schemas.openxmlformats.org/officeDocument/2006/relationships/theme" Target="/xl/theme/theme1.xml" Id="R9b3557c375384b13" /><Relationship Type="http://schemas.openxmlformats.org/officeDocument/2006/relationships/sharedStrings" Target="/xl/sharedStrings.xml" Id="Rcd26b9c30a464d80" /><Relationship Type="http://schemas.openxmlformats.org/officeDocument/2006/relationships/worksheet" Target="/xl/worksheets/sheet1.xml" Id="R9080383300da4e61" /><Relationship Type="http://schemas.openxmlformats.org/officeDocument/2006/relationships/worksheet" Target="/xl/worksheets/sheet2.xml" Id="Rb7234866bad7485f" /><Relationship Type="http://schemas.openxmlformats.org/officeDocument/2006/relationships/worksheet" Target="/xl/worksheets/sheet3.xml" Id="Refc1e96cecef4eaf" /><Relationship Type="http://schemas.openxmlformats.org/officeDocument/2006/relationships/worksheet" Target="/xl/worksheets/sheet4.xml" Id="Rb26bf9c7b7d44e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20" hidden="0" customWidth="1"/>
    <x:col min="5" max="5" width="13" hidden="0" customWidth="1"/>
    <x:col min="6" max="6" width="16" hidden="0" customWidth="1"/>
    <x:col min="7" max="7" width="19" hidden="0" customWidth="1"/>
    <x:col min="9" max="9" width="24" hidden="0" customWidth="1"/>
    <x:col min="10" max="10" width="18" hidden="0" customWidth="1"/>
  </x:cols>
  <x:sheetData>
    <x:row r="1">
      <x:c r="A1" s="5" t="str">
        <x:v>SOFR Discount Curve Inputs — transcribed from user screenshot</x:v>
      </x:c>
    </x:row>
    <x:row r="2">
      <x:c r="A2" s="12" t="str">
        <x:v>Basis used here: base date 05-Oct-2026, swap start 07-Oct-2026. Funding spread schedule: 1.21% to 18-Mar-2027, 1.71% to 18-Mar-2032, 1.51% thereafter.</x:v>
      </x:c>
    </x:row>
    <x:row r="4">
      <x:c r="A4" s="17" t="str">
        <x:v>Tenor</x:v>
      </x:c>
      <x:c r="B4" s="17" t="str">
        <x:v>Start Date</x:v>
      </x:c>
      <x:c r="C4" s="17" t="str">
        <x:v>Maturity</x:v>
      </x:c>
      <x:c r="D4" s="17" t="str">
        <x:v>SOFR DF</x:v>
      </x:c>
      <x:c r="E4" s="17" t="str">
        <x:v>ds.rate (%)</x:v>
      </x:c>
      <x:c r="F4" s="17" t="str">
        <x:v>Market Quote (%)</x:v>
      </x:c>
      <x:c r="G4" s="17" t="str">
        <x:v>Current Curve Spread (%)</x:v>
      </x:c>
      <x:c r="I4" s="16" t="str">
        <x:v>Curve Construction Assumptions</x:v>
      </x:c>
    </x:row>
    <x:row r="5">
      <x:c r="A5" s="28" t="str">
        <x:v>O/N</x:v>
      </x:c>
      <x:c r="B5" s="29" t="n">
        <x:v>46300</x:v>
      </x:c>
      <x:c r="C5" s="29" t="n">
        <x:v>46301</x:v>
      </x:c>
      <x:c r="D5" s="30" t="n">
        <x:v>0.999891678401507</x:v>
      </x:c>
      <x:c r="E5" s="86" t="n">
        <x:v>3.956661</x:v>
      </x:c>
      <x:c r="F5" s="86" t="n">
        <x:v>3.9</x:v>
      </x:c>
      <x:c r="G5" s="86" t="n">
        <x:v>0</x:v>
      </x:c>
      <x:c r="I5" s="40" t="str">
        <x:v>Base valuation date</x:v>
      </x:c>
      <x:c r="J5" s="41" t="n">
        <x:v>46300</x:v>
      </x:c>
    </x:row>
    <x:row r="6">
      <x:c r="A6" s="28" t="str">
        <x:v>2W</x:v>
      </x:c>
      <x:c r="B6" s="29" t="n">
        <x:v>46302</x:v>
      </x:c>
      <x:c r="C6" s="29" t="n">
        <x:v>46318</x:v>
      </x:c>
      <x:c r="D6" s="30" t="n">
        <x:v>0.998059757551154</x:v>
      </x:c>
      <x:c r="E6" s="86" t="n">
        <x:v>3.9409</x:v>
      </x:c>
      <x:c r="F6" s="86" t="n">
        <x:v>3.8868</x:v>
      </x:c>
      <x:c r="G6" s="86" t="n">
        <x:v>0</x:v>
      </x:c>
      <x:c r="I6" s="40" t="str">
        <x:v>Swap start date</x:v>
      </x:c>
      <x:c r="J6" s="41" t="n">
        <x:v>46302</x:v>
      </x:c>
    </x:row>
    <x:row r="7">
      <x:c r="A7" s="28" t="str">
        <x:v>3W</x:v>
      </x:c>
      <x:c r="B7" s="29" t="n">
        <x:v>46302</x:v>
      </x:c>
      <x:c r="C7" s="29" t="n">
        <x:v>46325</x:v>
      </x:c>
      <x:c r="D7" s="30" t="n">
        <x:v>0.997303296996777</x:v>
      </x:c>
      <x:c r="E7" s="86" t="n">
        <x:v>3.945205</x:v>
      </x:c>
      <x:c r="F7" s="86" t="n">
        <x:v>3.88825</x:v>
      </x:c>
      <x:c r="G7" s="86" t="n">
        <x:v>0</x:v>
      </x:c>
      <x:c r="I7" s="40" t="str">
        <x:v>Transition 1</x:v>
      </x:c>
      <x:c r="J7" s="41" t="n">
        <x:v>46464</x:v>
      </x:c>
    </x:row>
    <x:row r="8">
      <x:c r="A8" s="28" t="str">
        <x:v>1M</x:v>
      </x:c>
      <x:c r="B8" s="29" t="n">
        <x:v>46302</x:v>
      </x:c>
      <x:c r="C8" s="29" t="n">
        <x:v>46338</x:v>
      </x:c>
      <x:c r="D8" s="30" t="n">
        <x:v>0.995884424675813</x:v>
      </x:c>
      <x:c r="E8" s="86" t="n">
        <x:v>3.963989</x:v>
      </x:c>
      <x:c r="F8" s="86" t="n">
        <x:v>3.9134</x:v>
      </x:c>
      <x:c r="G8" s="86" t="n">
        <x:v>0</x:v>
      </x:c>
      <x:c r="I8" s="40" t="str">
        <x:v>Transition 2</x:v>
      </x:c>
      <x:c r="J8" s="41" t="n">
        <x:v>48291</x:v>
      </x:c>
    </x:row>
    <x:row r="9">
      <x:c r="A9" s="28" t="str">
        <x:v>2M</x:v>
      </x:c>
      <x:c r="B9" s="29" t="n">
        <x:v>46302</x:v>
      </x:c>
      <x:c r="C9" s="29" t="n">
        <x:v>46365</x:v>
      </x:c>
      <x:c r="D9" s="30" t="n">
        <x:v>0.992910960791187</x:v>
      </x:c>
      <x:c r="E9" s="86" t="n">
        <x:v>3.997681</x:v>
      </x:c>
      <x:c r="F9" s="86" t="n">
        <x:v>3.94985</x:v>
      </x:c>
      <x:c r="G9" s="86" t="n">
        <x:v>0</x:v>
      </x:c>
      <x:c r="I9" s="40" t="str">
        <x:v>Validation end</x:v>
      </x:c>
      <x:c r="J9" s="41" t="n">
        <x:v>55596</x:v>
      </x:c>
    </x:row>
    <x:row r="10">
      <x:c r="A10" s="28" t="str">
        <x:v>3M</x:v>
      </x:c>
      <x:c r="B10" s="29" t="n">
        <x:v>46302</x:v>
      </x:c>
      <x:c r="C10" s="29" t="n">
        <x:v>46398</x:v>
      </x:c>
      <x:c r="D10" s="30" t="n">
        <x:v>0.989138490578306</x:v>
      </x:c>
      <x:c r="E10" s="86" t="n">
        <x:v>4.070274</x:v>
      </x:c>
      <x:c r="F10" s="86" t="n">
        <x:v>4.0279</x:v>
      </x:c>
      <x:c r="G10" s="86" t="n">
        <x:v>0</x:v>
      </x:c>
      <x:c r="I10" s="40" t="str">
        <x:v>Spread 1</x:v>
      </x:c>
      <x:c r="J10" s="42" t="n">
        <x:v>0.0121</x:v>
      </x:c>
    </x:row>
    <x:row r="11">
      <x:c r="A11" s="28" t="str">
        <x:v>4M</x:v>
      </x:c>
      <x:c r="B11" s="29" t="n">
        <x:v>46302</x:v>
      </x:c>
      <x:c r="C11" s="29" t="n">
        <x:v>46428</x:v>
      </x:c>
      <x:c r="D11" s="30" t="n">
        <x:v>0.985682151594603</x:v>
      </x:c>
      <x:c r="E11" s="86" t="n">
        <x:v>4.115151</x:v>
      </x:c>
      <x:c r="F11" s="86" t="n">
        <x:v>4.0845</x:v>
      </x:c>
      <x:c r="G11" s="86" t="n">
        <x:v>0</x:v>
      </x:c>
      <x:c r="I11" s="40" t="str">
        <x:v>Spread 2</x:v>
      </x:c>
      <x:c r="J11" s="42" t="n">
        <x:v>0.0171</x:v>
      </x:c>
    </x:row>
    <x:row r="12">
      <x:c r="A12" s="28" t="str">
        <x:v>5M</x:v>
      </x:c>
      <x:c r="B12" s="29" t="n">
        <x:v>46302</x:v>
      </x:c>
      <x:c r="C12" s="29" t="n">
        <x:v>46456</x:v>
      </x:c>
      <x:c r="D12" s="30" t="n">
        <x:v>0.982425008743029</x:v>
      </x:c>
      <x:c r="E12" s="86" t="n">
        <x:v>4.151503</x:v>
      </x:c>
      <x:c r="F12" s="86" t="n">
        <x:v>4.12715</x:v>
      </x:c>
      <x:c r="G12" s="86" t="n">
        <x:v>0</x:v>
      </x:c>
      <x:c r="I12" s="40" t="str">
        <x:v>Spread 3</x:v>
      </x:c>
      <x:c r="J12" s="42" t="n">
        <x:v>0.0151</x:v>
      </x:c>
    </x:row>
    <x:row r="13">
      <x:c r="A13" s="28" t="str">
        <x:v>6M</x:v>
      </x:c>
      <x:c r="B13" s="29" t="n">
        <x:v>46302</x:v>
      </x:c>
      <x:c r="C13" s="29" t="n">
        <x:v>46486</x:v>
      </x:c>
      <x:c r="D13" s="30" t="n">
        <x:v>0.978864238909576</x:v>
      </x:c>
      <x:c r="E13" s="86" t="n">
        <x:v>4.194939</x:v>
      </x:c>
      <x:c r="F13" s="86" t="n">
        <x:v>4.1779</x:v>
      </x:c>
      <x:c r="G13" s="86" t="n">
        <x:v>0</x:v>
      </x:c>
      <x:c r="I13" s="43" t="str">
        <x:v>Base start DF approximation</x:v>
      </x:c>
      <x:c r="J13" s="44" t="n">
        <x:f>D5^2</x:f>
        <x:v>0.9997833685365826</x:v>
      </x:c>
    </x:row>
    <x:row r="14">
      <x:c r="A14" s="28" t="str">
        <x:v>7M</x:v>
      </x:c>
      <x:c r="B14" s="29" t="n">
        <x:v>46302</x:v>
      </x:c>
      <x:c r="C14" s="29" t="n">
        <x:v>46518</x:v>
      </x:c>
      <x:c r="D14" s="30" t="n">
        <x:v>0.975000516423471</x:v>
      </x:c>
      <x:c r="E14" s="86" t="n">
        <x:v>4.241805</x:v>
      </x:c>
      <x:c r="F14" s="86" t="n">
        <x:v>4.2294</x:v>
      </x:c>
      <x:c r="G14" s="86" t="n">
        <x:v>0</x:v>
      </x:c>
      <x:c r="I14" s="43" t="str">
        <x:v>Funding start DF</x:v>
      </x:c>
      <x:c r="J14" s="44" t="n">
        <x:f>J13*EXP(-J10*(J6-J5)/365)</x:f>
        <x:v>0.9997170837270934</x:v>
      </x:c>
    </x:row>
    <x:row r="15">
      <x:c r="A15" s="28" t="str">
        <x:v>8M</x:v>
      </x:c>
      <x:c r="B15" s="29" t="n">
        <x:v>46302</x:v>
      </x:c>
      <x:c r="C15" s="29" t="n">
        <x:v>46547</x:v>
      </x:c>
      <x:c r="D15" s="30" t="n">
        <x:v>0.971438474078365</x:v>
      </x:c>
      <x:c r="E15" s="86" t="n">
        <x:v>4.28501</x:v>
      </x:c>
      <x:c r="F15" s="86" t="n">
        <x:v>4.28385</x:v>
      </x:c>
      <x:c r="G15" s="86" t="n">
        <x:v>0</x:v>
      </x:c>
    </x:row>
    <x:row r="16">
      <x:c r="A16" s="28" t="str">
        <x:v>9M</x:v>
      </x:c>
      <x:c r="B16" s="29" t="n">
        <x:v>46302</x:v>
      </x:c>
      <x:c r="C16" s="29" t="n">
        <x:v>46577</x:v>
      </x:c>
      <x:c r="D16" s="30" t="n">
        <x:v>0.967710991147919</x:v>
      </x:c>
      <x:c r="E16" s="86" t="n">
        <x:v>4.327856</x:v>
      </x:c>
      <x:c r="F16" s="86" t="n">
        <x:v>4.3357</x:v>
      </x:c>
      <x:c r="G16" s="86" t="n">
        <x:v>0</x:v>
      </x:c>
    </x:row>
    <x:row r="17">
      <x:c r="A17" s="28" t="str">
        <x:v>10M</x:v>
      </x:c>
      <x:c r="B17" s="29" t="n">
        <x:v>46302</x:v>
      </x:c>
      <x:c r="C17" s="29" t="n">
        <x:v>46610</x:v>
      </x:c>
      <x:c r="D17" s="30" t="n">
        <x:v>0.963610487955732</x:v>
      </x:c>
      <x:c r="E17" s="86" t="n">
        <x:v>4.367462</x:v>
      </x:c>
      <x:c r="F17" s="86" t="n">
        <x:v>4.3844</x:v>
      </x:c>
      <x:c r="G17" s="86" t="n">
        <x:v>0</x:v>
      </x:c>
    </x:row>
    <x:row r="18">
      <x:c r="A18" s="28" t="str">
        <x:v>11M</x:v>
      </x:c>
      <x:c r="B18" s="29" t="n">
        <x:v>46302</x:v>
      </x:c>
      <x:c r="C18" s="29" t="n">
        <x:v>46639</x:v>
      </x:c>
      <x:c r="D18" s="30" t="n">
        <x:v>0.959944854580812</x:v>
      </x:c>
      <x:c r="E18" s="86" t="n">
        <x:v>4.404488</x:v>
      </x:c>
      <x:c r="F18" s="86" t="n">
        <x:v>4.4306</x:v>
      </x:c>
      <x:c r="G18" s="86" t="n">
        <x:v>0</x:v>
      </x:c>
    </x:row>
    <x:row r="19">
      <x:c r="A19" s="28" t="str">
        <x:v>1Y</x:v>
      </x:c>
      <x:c r="B19" s="29" t="n">
        <x:v>46302</x:v>
      </x:c>
      <x:c r="C19" s="29" t="n">
        <x:v>46672</x:v>
      </x:c>
      <x:c r="D19" s="30" t="n">
        <x:v>0.955813571760834</x:v>
      </x:c>
      <x:c r="E19" s="86" t="n">
        <x:v>4.437237</x:v>
      </x:c>
      <x:c r="F19" s="86" t="n">
        <x:v>4.46945</x:v>
      </x:c>
      <x:c r="G19" s="86" t="n">
        <x:v>0</x:v>
      </x:c>
    </x:row>
    <x:row r="20">
      <x:c r="A20" s="28" t="str">
        <x:v>2Y</x:v>
      </x:c>
      <x:c r="B20" s="29" t="n">
        <x:v>46302</x:v>
      </x:c>
      <x:c r="C20" s="29" t="n">
        <x:v>47038</x:v>
      </x:c>
      <x:c r="D20" s="30" t="n">
        <x:v>0.910952307835874</x:v>
      </x:c>
      <x:c r="E20" s="86" t="n">
        <x:v>4.615846</x:v>
      </x:c>
      <x:c r="F20" s="86" t="n">
        <x:v>4.65375</x:v>
      </x:c>
      <x:c r="G20" s="86" t="n">
        <x:v>0</x:v>
      </x:c>
    </x:row>
    <x:row r="21">
      <x:c r="A21" s="28" t="str">
        <x:v>3Y</x:v>
      </x:c>
      <x:c r="B21" s="29" t="n">
        <x:v>46302</x:v>
      </x:c>
      <x:c r="C21" s="29" t="n">
        <x:v>47402</x:v>
      </x:c>
      <x:c r="D21" s="30" t="n">
        <x:v>0.868821222433314</x:v>
      </x:c>
      <x:c r="E21" s="86" t="n">
        <x:v>4.66068</x:v>
      </x:c>
      <x:c r="F21" s="86" t="n">
        <x:v>4.69875</x:v>
      </x:c>
      <x:c r="G21" s="86" t="n">
        <x:v>0</x:v>
      </x:c>
    </x:row>
    <x:row r="22">
      <x:c r="A22" s="28" t="str">
        <x:v>4Y</x:v>
      </x:c>
      <x:c r="B22" s="29" t="n">
        <x:v>46302</x:v>
      </x:c>
      <x:c r="C22" s="29" t="n">
        <x:v>47765</x:v>
      </x:c>
      <x:c r="D22" s="30" t="n">
        <x:v>0.829035646763959</x:v>
      </x:c>
      <x:c r="E22" s="86" t="n">
        <x:v>4.674505</x:v>
      </x:c>
      <x:c r="F22" s="86" t="n">
        <x:v>4.71275</x:v>
      </x:c>
      <x:c r="G22" s="86" t="n">
        <x:v>0</x:v>
      </x:c>
    </x:row>
    <x:row r="23">
      <x:c r="A23" s="28" t="str">
        <x:v>5Y</x:v>
      </x:c>
      <x:c r="B23" s="29" t="n">
        <x:v>46302</x:v>
      </x:c>
      <x:c r="C23" s="29" t="n">
        <x:v>48130</x:v>
      </x:c>
      <x:c r="D23" s="30" t="n">
        <x:v>0.79063609098801</x:v>
      </x:c>
      <x:c r="E23" s="86" t="n">
        <x:v>4.688722</x:v>
      </x:c>
      <x:c r="F23" s="86" t="n">
        <x:v>4.72675</x:v>
      </x:c>
      <x:c r="G23" s="86" t="n">
        <x:v>0</x:v>
      </x:c>
    </x:row>
    <x:row r="24">
      <x:c r="A24" s="28" t="str">
        <x:v>6Y</x:v>
      </x:c>
      <x:c r="B24" s="29" t="n">
        <x:v>46302</x:v>
      </x:c>
      <x:c r="C24" s="29" t="n">
        <x:v>48499</x:v>
      </x:c>
      <x:c r="D24" s="30" t="n">
        <x:v>0.75311693457346</x:v>
      </x:c>
      <x:c r="E24" s="86" t="n">
        <x:v>4.709462</x:v>
      </x:c>
      <x:c r="F24" s="86" t="n">
        <x:v>4.74625</x:v>
      </x:c>
      <x:c r="G24" s="86" t="n">
        <x:v>0</x:v>
      </x:c>
    </x:row>
    <x:row r="25">
      <x:c r="A25" s="28" t="str">
        <x:v>7Y</x:v>
      </x:c>
      <x:c r="B25" s="29" t="n">
        <x:v>46302</x:v>
      </x:c>
      <x:c r="C25" s="29" t="n">
        <x:v>48864</x:v>
      </x:c>
      <x:c r="D25" s="30" t="n">
        <x:v>0.717321950748335</x:v>
      </x:c>
      <x:c r="E25" s="86" t="n">
        <x:v>4.73273</x:v>
      </x:c>
      <x:c r="F25" s="86" t="n">
        <x:v>4.76775</x:v>
      </x:c>
      <x:c r="G25" s="86" t="n">
        <x:v>0</x:v>
      </x:c>
    </x:row>
    <x:row r="26">
      <x:c r="A26" s="28" t="str">
        <x:v>8Y</x:v>
      </x:c>
      <x:c r="B26" s="29" t="n">
        <x:v>46302</x:v>
      </x:c>
      <x:c r="C26" s="29" t="n">
        <x:v>49229</x:v>
      </x:c>
      <x:c r="D26" s="30" t="n">
        <x:v>0.682840962289551</x:v>
      </x:c>
      <x:c r="E26" s="86" t="n">
        <x:v>4.75727</x:v>
      </x:c>
      <x:c r="F26" s="86" t="n">
        <x:v>4.79025</x:v>
      </x:c>
      <x:c r="G26" s="86" t="n">
        <x:v>0</x:v>
      </x:c>
    </x:row>
    <x:row r="27">
      <x:c r="A27" s="28" t="str">
        <x:v>9Y</x:v>
      </x:c>
      <x:c r="B27" s="29" t="n">
        <x:v>46302</x:v>
      </x:c>
      <x:c r="C27" s="29" t="n">
        <x:v>49593</x:v>
      </x:c>
      <x:c r="D27" s="30" t="n">
        <x:v>0.649628438303405</x:v>
      </x:c>
      <x:c r="E27" s="86" t="n">
        <x:v>4.784461</x:v>
      </x:c>
      <x:c r="F27" s="86" t="n">
        <x:v>4.81425</x:v>
      </x:c>
      <x:c r="G27" s="86" t="n">
        <x:v>0</x:v>
      </x:c>
    </x:row>
    <x:row r="28">
      <x:c r="A28" s="28" t="str">
        <x:v>10Y</x:v>
      </x:c>
      <x:c r="B28" s="29" t="n">
        <x:v>46302</x:v>
      </x:c>
      <x:c r="C28" s="29" t="n">
        <x:v>49957</x:v>
      </x:c>
      <x:c r="D28" s="30" t="n">
        <x:v>0.617439070757705</x:v>
      </x:c>
      <x:c r="E28" s="86" t="n">
        <x:v>4.815816</x:v>
      </x:c>
      <x:c r="F28" s="86" t="n">
        <x:v>4.84125</x:v>
      </x:c>
      <x:c r="G28" s="86" t="n">
        <x:v>0</x:v>
      </x:c>
    </x:row>
    <x:row r="29">
      <x:c r="A29" s="28" t="str">
        <x:v>12Y</x:v>
      </x:c>
      <x:c r="B29" s="29" t="n">
        <x:v>46302</x:v>
      </x:c>
      <x:c r="C29" s="29" t="n">
        <x:v>50690</x:v>
      </x:c>
      <x:c r="D29" s="30" t="n">
        <x:v>0.556255351358886</x:v>
      </x:c>
      <x:c r="E29" s="86" t="n">
        <x:v>4.879938</x:v>
      </x:c>
      <x:c r="F29" s="86" t="n">
        <x:v>4.89475</x:v>
      </x:c>
      <x:c r="G29" s="86" t="n">
        <x:v>0</x:v>
      </x:c>
    </x:row>
    <x:row r="30">
      <x:c r="A30" s="28" t="str">
        <x:v>15Y</x:v>
      </x:c>
      <x:c r="B30" s="29" t="n">
        <x:v>46302</x:v>
      </x:c>
      <x:c r="C30" s="29" t="n">
        <x:v>51783</x:v>
      </x:c>
      <x:c r="D30" s="30" t="n">
        <x:v>0.47479724631648</x:v>
      </x:c>
      <x:c r="E30" s="86" t="n">
        <x:v>4.961934</x:v>
      </x:c>
      <x:c r="F30" s="86" t="n">
        <x:v>4.96125</x:v>
      </x:c>
      <x:c r="G30" s="86" t="n">
        <x:v>0</x:v>
      </x:c>
    </x:row>
    <x:row r="31">
      <x:c r="A31" s="28" t="str">
        <x:v>20Y</x:v>
      </x:c>
      <x:c r="B31" s="29" t="n">
        <x:v>46302</x:v>
      </x:c>
      <x:c r="C31" s="29" t="n">
        <x:v>53611</x:v>
      </x:c>
      <x:c r="D31" s="30" t="n">
        <x:v>0.366492295400916</x:v>
      </x:c>
      <x:c r="E31" s="86" t="n">
        <x:v>5.01477</x:v>
      </x:c>
      <x:c r="F31" s="86" t="n">
        <x:v>5.00675</x:v>
      </x:c>
      <x:c r="G31" s="86" t="n">
        <x:v>0</x:v>
      </x:c>
    </x:row>
    <x:row r="32">
      <x:c r="A32" s="28" t="str">
        <x:v>25Y</x:v>
      </x:c>
      <x:c r="B32" s="29" t="n">
        <x:v>46302</x:v>
      </x:c>
      <x:c r="C32" s="29" t="n">
        <x:v>55438</x:v>
      </x:c>
      <x:c r="D32" s="30" t="n">
        <x:v>0.288491859787276</x:v>
      </x:c>
      <x:c r="E32" s="86" t="n">
        <x:v>4.968681</x:v>
      </x:c>
      <x:c r="F32" s="86" t="n">
        <x:v>4.98775</x:v>
      </x:c>
      <x:c r="G32" s="86" t="n">
        <x:v>0</x:v>
      </x:c>
    </x:row>
    <x:row r="33">
      <x:c r="A33" s="28" t="str">
        <x:v>30Y</x:v>
      </x:c>
      <x:c r="B33" s="29" t="n">
        <x:v>46302</x:v>
      </x:c>
      <x:c r="C33" s="29" t="n">
        <x:v>57264</x:v>
      </x:c>
      <x:c r="D33" s="30" t="n">
        <x:v>0.232117351579666</x:v>
      </x:c>
      <x:c r="E33" s="86" t="n">
        <x:v>4.865488</x:v>
      </x:c>
      <x:c r="F33" s="86" t="n">
        <x:v>4.93825</x:v>
      </x:c>
      <x:c r="G33" s="86" t="n">
        <x:v>0</x:v>
      </x:c>
    </x:row>
    <x:row r="34">
      <x:c r="A34" s="28" t="str">
        <x:v>40Y</x:v>
      </x:c>
      <x:c r="B34" s="29" t="n">
        <x:v>46302</x:v>
      </x:c>
      <x:c r="C34" s="29" t="n">
        <x:v>60916</x:v>
      </x:c>
      <x:c r="D34" s="30" t="n">
        <x:v>0.159813589980508</x:v>
      </x:c>
      <x:c r="E34" s="86" t="n">
        <x:v>4.582486</x:v>
      </x:c>
      <x:c r="F34" s="86" t="n">
        <x:v>4.81075</x:v>
      </x:c>
      <x:c r="G34" s="86" t="n">
        <x:v>0</x:v>
      </x:c>
    </x:row>
    <x:row r="35">
      <x:c r="A35" s="28" t="str">
        <x:v>50Y</x:v>
      </x:c>
      <x:c r="B35" s="29" t="n">
        <x:v>46302</x:v>
      </x:c>
      <x:c r="C35" s="29" t="n">
        <x:v>64567</x:v>
      </x:c>
      <x:c r="D35" s="30" t="n">
        <x:v>0.119925597160553</x:v>
      </x:c>
      <x:c r="E35" s="86" t="n">
        <x:v>4.240723</x:v>
      </x:c>
      <x:c r="F35" s="86" t="n">
        <x:v>4.67025</x:v>
      </x:c>
      <x:c r="G35" s="86" t="n">
        <x:v>0</x:v>
      </x:c>
    </x:row>
  </x:sheetData>
  <x:mergeCells>
    <x:mergeCell ref="A1:L1"/>
    <x:mergeCell ref="A2:L2"/>
    <x:mergeCell ref="I4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5" hidden="0" customWidth="1"/>
    <x:col min="4" max="4" width="19" hidden="0" customWidth="1"/>
    <x:col min="5" max="5" width="13" hidden="0" customWidth="1"/>
    <x:col min="6" max="6" width="13" hidden="0" customWidth="1"/>
    <x:col min="7" max="7" width="13" hidden="0" customWidth="1"/>
    <x:col min="8" max="8" width="15" hidden="0" customWidth="1"/>
    <x:col min="9" max="9" width="19" hidden="0" customWidth="1"/>
    <x:col min="10" max="10" width="13" hidden="0" customWidth="1"/>
    <x:col min="11" max="11" width="13" hidden="0" customWidth="1"/>
    <x:col min="12" max="12" width="15" hidden="0" customWidth="1"/>
    <x:col min="13" max="13" width="17" hidden="0" customWidth="1"/>
    <x:col min="14" max="14" width="14" hidden="0" customWidth="1"/>
    <x:col min="15" max="15" width="15" hidden="0" customWidth="1"/>
  </x:cols>
  <x:sheetData>
    <x:row r="1">
      <x:c r="A1" s="50" t="str">
        <x:v>Annual payment grid used to convert target funding DFs into spot par swap rates</x:v>
      </x:c>
    </x:row>
    <x:row r="2">
      <x:c r="A2" s="52" t="str">
        <x:v>Fixed-leg approximation: annual payments, ACT/360. Exact system calendars may move long-dated values slightly. Known annual pillar dates use the system dates; missing annual dates use 12-Oct adjusted to the prior weekday.</x:v>
      </x:c>
    </x:row>
    <x:row r="4">
      <x:c r="A4" s="55" t="str">
        <x:v>Year</x:v>
      </x:c>
      <x:c r="B4" s="55" t="str">
        <x:v>Payment Date</x:v>
      </x:c>
      <x:c r="C4" s="55" t="str">
        <x:v>Accrual ACT/360</x:v>
      </x:c>
      <x:c r="D4" s="55" t="str">
        <x:v>Base SOFR DF</x:v>
      </x:c>
      <x:c r="E4" s="55" t="str">
        <x:v>Days @1.21%</x:v>
      </x:c>
      <x:c r="F4" s="55" t="str">
        <x:v>Days @1.71%</x:v>
      </x:c>
      <x:c r="G4" s="55" t="str">
        <x:v>Days @1.51%</x:v>
      </x:c>
      <x:c r="H4" s="55" t="str">
        <x:v>Spread Integral</x:v>
      </x:c>
      <x:c r="I4" s="55" t="str">
        <x:v>Funding DF</x:v>
      </x:c>
      <x:c r="J4" s="55" t="str">
        <x:v>Base PV01</x:v>
      </x:c>
      <x:c r="K4" s="55" t="str">
        <x:v>Funding PV01</x:v>
      </x:c>
      <x:c r="L4" s="55" t="str">
        <x:v>Cum Base PV01</x:v>
      </x:c>
      <x:c r="M4" s="55" t="str">
        <x:v>Cum Funding PV01</x:v>
      </x:c>
      <x:c r="N4" s="55" t="str">
        <x:v>Base Par (%)</x:v>
      </x:c>
      <x:c r="O4" s="55" t="str">
        <x:v>Funding Par (%)</x:v>
      </x:c>
    </x:row>
    <x:row r="5">
      <x:c r="A5" t="n">
        <x:v>1</x:v>
      </x:c>
      <x:c r="B5" s="60" t="n">
        <x:v>46672</x:v>
      </x:c>
      <x:c r="C5" s="66" t="n">
        <x:f>(B5-'SOFR Inputs'!$J$6)/360</x:f>
        <x:v>1.0277777777777777</x:v>
      </x:c>
      <x:c r="D5" s="38" t="n">
        <x:f>'SOFR Inputs'!D19</x:f>
        <x:v>0.955813571760834</x:v>
      </x:c>
      <x:c r="E5" s="67" t="n">
        <x:f>MAX(0,MIN(B5,'SOFR Inputs'!$J$7)-'SOFR Inputs'!$J$5)</x:f>
        <x:v>164</x:v>
      </x:c>
      <x:c r="F5" s="67" t="n">
        <x:f>MAX(0,MIN(B5,'SOFR Inputs'!$J$8)-'SOFR Inputs'!$J$7)</x:f>
        <x:v>208</x:v>
      </x:c>
      <x:c r="G5" s="67" t="n">
        <x:f>MAX(0,B5-'SOFR Inputs'!$J$8)</x:f>
        <x:v>0</x:v>
      </x:c>
      <x:c r="H5" s="66" t="n">
        <x:f>E5/365*'SOFR Inputs'!$J$10+F5/365*'SOFR Inputs'!$J$11+G5/365*'SOFR Inputs'!$J$12</x:f>
        <x:v>0.015181369863013699</x:v>
      </x:c>
      <x:c r="I5" s="38" t="n">
        <x:f>D5*EXP(-H5)</x:f>
        <x:v>0.9414126022167102</x:v>
      </x:c>
      <x:c r="J5" s="66" t="n">
        <x:f>C5*D5</x:f>
        <x:v>0.9823639487541904</x:v>
      </x:c>
      <x:c r="K5" s="66" t="n">
        <x:f>C5*I5</x:f>
        <x:v>0.9675629522782854</x:v>
      </x:c>
      <x:c r="L5" s="66" t="n">
        <x:f>SUM($J$5:J5)</x:f>
        <x:v>0.9823639487541904</x:v>
      </x:c>
      <x:c r="M5" s="66" t="n">
        <x:f>SUM($K$5:K5)</x:f>
        <x:v>0.9675629522782854</x:v>
      </x:c>
      <x:c r="N5" s="88" t="n">
        <x:f>('SOFR Inputs'!$J$13-D5)/L5*100</x:f>
        <x:v>4.4759171823752215</x:v>
      </x:c>
      <x:c r="O5" s="88" t="n">
        <x:f>('SOFR Inputs'!$J$14-I5)/M5*100</x:f>
        <x:v>6.025910910819374</x:v>
      </x:c>
    </x:row>
    <x:row r="6">
      <x:c r="A6" t="n">
        <x:v>2</x:v>
      </x:c>
      <x:c r="B6" s="60" t="n">
        <x:v>47038</x:v>
      </x:c>
      <x:c r="C6" s="66" t="n">
        <x:f>(B6-B5)/360</x:f>
        <x:v>1.0166666666666666</x:v>
      </x:c>
      <x:c r="D6" s="38" t="n">
        <x:f>'SOFR Inputs'!D20</x:f>
        <x:v>0.910952307835874</x:v>
      </x:c>
      <x:c r="E6" s="67" t="n">
        <x:f>MAX(0,MIN(B6,'SOFR Inputs'!$J$7)-'SOFR Inputs'!$J$5)</x:f>
        <x:v>164</x:v>
      </x:c>
      <x:c r="F6" s="67" t="n">
        <x:f>MAX(0,MIN(B6,'SOFR Inputs'!$J$8)-'SOFR Inputs'!$J$7)</x:f>
        <x:v>574</x:v>
      </x:c>
      <x:c r="G6" s="67" t="n">
        <x:f>MAX(0,B6-'SOFR Inputs'!$J$8)</x:f>
        <x:v>0</x:v>
      </x:c>
      <x:c r="H6" s="66" t="n">
        <x:f>E6/365*'SOFR Inputs'!$J$10+F6/365*'SOFR Inputs'!$J$11+G6/365*'SOFR Inputs'!$J$12</x:f>
        <x:v>0.03232821917808219</x:v>
      </x:c>
      <x:c r="I6" s="38" t="n">
        <x:f>D6*EXP(-H6)</x:f>
        <x:v>0.8819737778790558</x:v>
      </x:c>
      <x:c r="J6" s="66" t="n">
        <x:f>C6*D6</x:f>
        <x:v>0.9261348462998051</x:v>
      </x:c>
      <x:c r="K6" s="66" t="n">
        <x:f>C6*I6</x:f>
        <x:v>0.8966733408437068</x:v>
      </x:c>
      <x:c r="L6" s="66" t="n">
        <x:f>SUM($J$5:J6)</x:f>
        <x:v>1.9084987950539956</x:v>
      </x:c>
      <x:c r="M6" s="66" t="n">
        <x:f>SUM($K$5:K6)</x:f>
        <x:v>1.864236293121992</x:v>
      </x:c>
      <x:c r="N6" s="88" t="n">
        <x:f>('SOFR Inputs'!$J$13-D6)/L6*100</x:f>
        <x:v>4.654499176573771</x:v>
      </x:c>
      <x:c r="O6" s="88" t="n">
        <x:f>('SOFR Inputs'!$J$14-I6)/M6*100</x:f>
        <x:v>6.315900311695772</x:v>
      </x:c>
    </x:row>
    <x:row r="7">
      <x:c r="A7" t="n">
        <x:v>3</x:v>
      </x:c>
      <x:c r="B7" s="60" t="n">
        <x:v>47402</x:v>
      </x:c>
      <x:c r="C7" s="66" t="n">
        <x:f>(B7-B6)/360</x:f>
        <x:v>1.011111111111111</x:v>
      </x:c>
      <x:c r="D7" s="38" t="n">
        <x:f>'SOFR Inputs'!D21</x:f>
        <x:v>0.868821222433314</x:v>
      </x:c>
      <x:c r="E7" s="67" t="n">
        <x:f>MAX(0,MIN(B7,'SOFR Inputs'!$J$7)-'SOFR Inputs'!$J$5)</x:f>
        <x:v>164</x:v>
      </x:c>
      <x:c r="F7" s="67" t="n">
        <x:f>MAX(0,MIN(B7,'SOFR Inputs'!$J$8)-'SOFR Inputs'!$J$7)</x:f>
        <x:v>938</x:v>
      </x:c>
      <x:c r="G7" s="67" t="n">
        <x:f>MAX(0,B7-'SOFR Inputs'!$J$8)</x:f>
        <x:v>0</x:v>
      </x:c>
      <x:c r="H7" s="66" t="n">
        <x:f>E7/365*'SOFR Inputs'!$J$10+F7/365*'SOFR Inputs'!$J$11+G7/365*'SOFR Inputs'!$J$12</x:f>
        <x:v>0.0493813698630137</x:v>
      </x:c>
      <x:c r="I7" s="38" t="n">
        <x:f>D7*EXP(-H7)</x:f>
        <x:v>0.8269597354161887</x:v>
      </x:c>
      <x:c r="J7" s="66" t="n">
        <x:f>C7*D7</x:f>
        <x:v>0.8784747915714619</x:v>
      </x:c>
      <x:c r="K7" s="66" t="n">
        <x:f>C7*I7</x:f>
        <x:v>0.836148176920813</x:v>
      </x:c>
      <x:c r="L7" s="66" t="n">
        <x:f>SUM($J$5:J7)</x:f>
        <x:v>2.7869735866254572</x:v>
      </x:c>
      <x:c r="M7" s="66" t="n">
        <x:f>SUM($K$5:K7)</x:f>
        <x:v>2.7003844700428052</x:v>
      </x:c>
      <x:c r="N7" s="88" t="n">
        <x:f>('SOFR Inputs'!$J$13-D7)/L7*100</x:f>
        <x:v>4.699080993510276</x:v>
      </x:c>
      <x:c r="O7" s="88" t="n">
        <x:f>('SOFR Inputs'!$J$14-I7)/M7*100</x:f>
        <x:v>6.397509326076308</x:v>
      </x:c>
    </x:row>
    <x:row r="8">
      <x:c r="A8" t="n">
        <x:v>4</x:v>
      </x:c>
      <x:c r="B8" s="60" t="n">
        <x:v>47765</x:v>
      </x:c>
      <x:c r="C8" s="66" t="n">
        <x:f>(B8-B7)/360</x:f>
        <x:v>1.0083333333333333</x:v>
      </x:c>
      <x:c r="D8" s="38" t="n">
        <x:f>'SOFR Inputs'!D22</x:f>
        <x:v>0.829035646763959</x:v>
      </x:c>
      <x:c r="E8" s="67" t="n">
        <x:f>MAX(0,MIN(B8,'SOFR Inputs'!$J$7)-'SOFR Inputs'!$J$5)</x:f>
        <x:v>164</x:v>
      </x:c>
      <x:c r="F8" s="67" t="n">
        <x:f>MAX(0,MIN(B8,'SOFR Inputs'!$J$8)-'SOFR Inputs'!$J$7)</x:f>
        <x:v>1301</x:v>
      </x:c>
      <x:c r="G8" s="67" t="n">
        <x:f>MAX(0,B8-'SOFR Inputs'!$J$8)</x:f>
        <x:v>0</x:v>
      </x:c>
      <x:c r="H8" s="66" t="n">
        <x:f>E8/365*'SOFR Inputs'!$J$10+F8/365*'SOFR Inputs'!$J$11+G8/365*'SOFR Inputs'!$J$12</x:f>
        <x:v>0.06638767123287671</x:v>
      </x:c>
      <x:c r="I8" s="38" t="n">
        <x:f>D8*EXP(-H8)</x:f>
        <x:v>0.7757850486839278</x:v>
      </x:c>
      <x:c r="J8" s="66" t="n">
        <x:f>C8*D8</x:f>
        <x:v>0.8359442771536587</x:v>
      </x:c>
      <x:c r="K8" s="66" t="n">
        <x:f>C8*I8</x:f>
        <x:v>0.7822499240896272</x:v>
      </x:c>
      <x:c r="L8" s="66" t="n">
        <x:f>SUM($J$5:J8)</x:f>
        <x:v>3.622917863779116</x:v>
      </x:c>
      <x:c r="M8" s="66" t="n">
        <x:f>SUM($K$5:K8)</x:f>
        <x:v>3.4826343941324325</x:v>
      </x:c>
      <x:c r="N8" s="88" t="n">
        <x:f>('SOFR Inputs'!$J$13-D8)/L8*100</x:f>
        <x:v>4.712989037916366</x:v>
      </x:c>
      <x:c r="O8" s="88" t="n">
        <x:f>('SOFR Inputs'!$J$14-I8)/M8*100</x:f>
        <x:v>6.429961049613704</x:v>
      </x:c>
    </x:row>
    <x:row r="9">
      <x:c r="A9" t="n">
        <x:v>5</x:v>
      </x:c>
      <x:c r="B9" s="60" t="n">
        <x:v>48130</x:v>
      </x:c>
      <x:c r="C9" s="66" t="n">
        <x:f>(B9-B8)/360</x:f>
        <x:v>1.0138888888888888</x:v>
      </x:c>
      <x:c r="D9" s="38" t="n">
        <x:f>'SOFR Inputs'!D23</x:f>
        <x:v>0.79063609098801</x:v>
      </x:c>
      <x:c r="E9" s="67" t="n">
        <x:f>MAX(0,MIN(B9,'SOFR Inputs'!$J$7)-'SOFR Inputs'!$J$5)</x:f>
        <x:v>164</x:v>
      </x:c>
      <x:c r="F9" s="67" t="n">
        <x:f>MAX(0,MIN(B9,'SOFR Inputs'!$J$8)-'SOFR Inputs'!$J$7)</x:f>
        <x:v>1666</x:v>
      </x:c>
      <x:c r="G9" s="67" t="n">
        <x:f>MAX(0,B9-'SOFR Inputs'!$J$8)</x:f>
        <x:v>0</x:v>
      </x:c>
      <x:c r="H9" s="66" t="n">
        <x:f>E9/365*'SOFR Inputs'!$J$10+F9/365*'SOFR Inputs'!$J$11+G9/365*'SOFR Inputs'!$J$12</x:f>
        <x:v>0.08348767123287672</x:v>
      </x:c>
      <x:c r="I9" s="38" t="n">
        <x:f>D9*EXP(-H9)</x:f>
        <x:v>0.7273080596568788</x:v>
      </x:c>
      <x:c r="J9" s="66" t="n">
        <x:f>C9*D9</x:f>
        <x:v>0.8016171478072879</x:v>
      </x:c>
      <x:c r="K9" s="66" t="n">
        <x:f>C9*I9</x:f>
        <x:v>0.7374095604854466</x:v>
      </x:c>
      <x:c r="L9" s="66" t="n">
        <x:f>SUM($J$5:J9)</x:f>
        <x:v>4.4245350115864035</x:v>
      </x:c>
      <x:c r="M9" s="66" t="n">
        <x:f>SUM($K$5:K9)</x:f>
        <x:v>4.220043954617879</x:v>
      </x:c>
      <x:c r="N9" s="88" t="n">
        <x:f>('SOFR Inputs'!$J$13-D9)/L9*100</x:f>
        <x:v>4.726988870036841</x:v>
      </x:c>
      <x:c r="O9" s="88" t="n">
        <x:f>('SOFR Inputs'!$J$14-I9)/M9*100</x:f>
        <x:v>6.45512290866366</x:v>
      </x:c>
    </x:row>
    <x:row r="10">
      <x:c r="A10" t="n">
        <x:v>6</x:v>
      </x:c>
      <x:c r="B10" s="60" t="n">
        <x:v>48499</x:v>
      </x:c>
      <x:c r="C10" s="66" t="n">
        <x:f>(B10-B9)/360</x:f>
        <x:v>1.025</x:v>
      </x:c>
      <x:c r="D10" s="38" t="n">
        <x:f>'SOFR Inputs'!D24</x:f>
        <x:v>0.75311693457346</x:v>
      </x:c>
      <x:c r="E10" s="67" t="n">
        <x:f>MAX(0,MIN(B10,'SOFR Inputs'!$J$7)-'SOFR Inputs'!$J$5)</x:f>
        <x:v>164</x:v>
      </x:c>
      <x:c r="F10" s="67" t="n">
        <x:f>MAX(0,MIN(B10,'SOFR Inputs'!$J$8)-'SOFR Inputs'!$J$7)</x:f>
        <x:v>1827</x:v>
      </x:c>
      <x:c r="G10" s="67" t="n">
        <x:f>MAX(0,B10-'SOFR Inputs'!$J$8)</x:f>
        <x:v>208</x:v>
      </x:c>
      <x:c r="H10" s="66" t="n">
        <x:f>E10/365*'SOFR Inputs'!$J$10+F10/365*'SOFR Inputs'!$J$11+G10/365*'SOFR Inputs'!$J$12</x:f>
        <x:v>0.09963534246575342</x:v>
      </x:c>
      <x:c r="I10" s="38" t="n">
        <x:f>D10*EXP(-H10)</x:f>
        <x:v>0.6816969231588534</x:v>
      </x:c>
      <x:c r="J10" s="66" t="n">
        <x:f>C10*D10</x:f>
        <x:v>0.7719448579377964</x:v>
      </x:c>
      <x:c r="K10" s="66" t="n">
        <x:f>C10*I10</x:f>
        <x:v>0.6987393462378247</x:v>
      </x:c>
      <x:c r="L10" s="66" t="n">
        <x:f>SUM($J$5:J10)</x:f>
        <x:v>5.1964798695242</x:v>
      </x:c>
      <x:c r="M10" s="66" t="n">
        <x:f>SUM($K$5:K10)</x:f>
        <x:v>4.918783300855704</x:v>
      </x:c>
      <x:c r="N10" s="88" t="n">
        <x:f>('SOFR Inputs'!$J$13-D10)/L10*100</x:f>
        <x:v>4.746798605143213</x:v>
      </x:c>
      <x:c r="O10" s="88" t="n">
        <x:f>('SOFR Inputs'!$J$14-I10)/M10*100</x:f>
        <x:v>6.465423278820091</x:v>
      </x:c>
    </x:row>
    <x:row r="11">
      <x:c r="A11" t="n">
        <x:v>7</x:v>
      </x:c>
      <x:c r="B11" s="60" t="n">
        <x:v>48864</x:v>
      </x:c>
      <x:c r="C11" s="66" t="n">
        <x:f>(B11-B10)/360</x:f>
        <x:v>1.0138888888888888</x:v>
      </x:c>
      <x:c r="D11" s="38" t="n">
        <x:f>'SOFR Inputs'!D25</x:f>
        <x:v>0.717321950748335</x:v>
      </x:c>
      <x:c r="E11" s="67" t="n">
        <x:f>MAX(0,MIN(B11,'SOFR Inputs'!$J$7)-'SOFR Inputs'!$J$5)</x:f>
        <x:v>164</x:v>
      </x:c>
      <x:c r="F11" s="67" t="n">
        <x:f>MAX(0,MIN(B11,'SOFR Inputs'!$J$8)-'SOFR Inputs'!$J$7)</x:f>
        <x:v>1827</x:v>
      </x:c>
      <x:c r="G11" s="67" t="n">
        <x:f>MAX(0,B11-'SOFR Inputs'!$J$8)</x:f>
        <x:v>573</x:v>
      </x:c>
      <x:c r="H11" s="66" t="n">
        <x:f>E11/365*'SOFR Inputs'!$J$10+F11/365*'SOFR Inputs'!$J$11+G11/365*'SOFR Inputs'!$J$12</x:f>
        <x:v>0.11473534246575343</x:v>
      </x:c>
      <x:c r="I11" s="38" t="n">
        <x:f>D11*EXP(-H11)</x:f>
        <x:v>0.6395657446744725</x:v>
      </x:c>
      <x:c r="J11" s="66" t="n">
        <x:f>C11*D11</x:f>
        <x:v>0.7272847556198396</x:v>
      </x:c>
      <x:c r="K11" s="66" t="n">
        <x:f>C11*I11</x:f>
        <x:v>0.6484486022393957</x:v>
      </x:c>
      <x:c r="L11" s="66" t="n">
        <x:f>SUM($J$5:J11)</x:f>
        <x:v>5.92376462514404</x:v>
      </x:c>
      <x:c r="M11" s="66" t="n">
        <x:f>SUM($K$5:K11)</x:f>
        <x:v>5.5672319030951</x:v>
      </x:c>
      <x:c r="N11" s="88" t="n">
        <x:f>('SOFR Inputs'!$J$13-D11)/L11*100</x:f>
        <x:v>4.7682755082690225</x:v>
      </x:c>
      <x:c r="O11" s="88" t="n">
        <x:f>('SOFR Inputs'!$J$14-I11)/M11*100</x:f>
        <x:v>6.469127662032455</x:v>
      </x:c>
    </x:row>
    <x:row r="12">
      <x:c r="A12" t="n">
        <x:v>8</x:v>
      </x:c>
      <x:c r="B12" s="60" t="n">
        <x:v>49229</x:v>
      </x:c>
      <x:c r="C12" s="66" t="n">
        <x:f>(B12-B11)/360</x:f>
        <x:v>1.0138888888888888</x:v>
      </x:c>
      <x:c r="D12" s="38" t="n">
        <x:f>'SOFR Inputs'!D26</x:f>
        <x:v>0.682840962289551</x:v>
      </x:c>
      <x:c r="E12" s="67" t="n">
        <x:f>MAX(0,MIN(B12,'SOFR Inputs'!$J$7)-'SOFR Inputs'!$J$5)</x:f>
        <x:v>164</x:v>
      </x:c>
      <x:c r="F12" s="67" t="n">
        <x:f>MAX(0,MIN(B12,'SOFR Inputs'!$J$8)-'SOFR Inputs'!$J$7)</x:f>
        <x:v>1827</x:v>
      </x:c>
      <x:c r="G12" s="67" t="n">
        <x:f>MAX(0,B12-'SOFR Inputs'!$J$8)</x:f>
        <x:v>938</x:v>
      </x:c>
      <x:c r="H12" s="66" t="n">
        <x:f>E12/365*'SOFR Inputs'!$J$10+F12/365*'SOFR Inputs'!$J$11+G12/365*'SOFR Inputs'!$J$12</x:f>
        <x:v>0.12983534246575343</x:v>
      </x:c>
      <x:c r="I12" s="38" t="n">
        <x:f>D12*EXP(-H12)</x:f>
        <x:v>0.5996982657404883</x:v>
      </x:c>
      <x:c r="J12" s="66" t="n">
        <x:f>C12*D12</x:f>
        <x:v>0.6923248645435726</x:v>
      </x:c>
      <x:c r="K12" s="66" t="n">
        <x:f>C12*I12</x:f>
        <x:v>0.6080274083202173</x:v>
      </x:c>
      <x:c r="L12" s="66" t="n">
        <x:f>SUM($J$5:J12)</x:f>
        <x:v>6.616089489687613</x:v>
      </x:c>
      <x:c r="M12" s="66" t="n">
        <x:f>SUM($K$5:K12)</x:f>
        <x:v>6.175259311415317</x:v>
      </x:c>
      <x:c r="N12" s="88" t="n">
        <x:f>('SOFR Inputs'!$J$13-D12)/L12*100</x:f>
        <x:v>4.790479432617172</x:v>
      </x:c>
      <x:c r="O12" s="88" t="n">
        <x:f>('SOFR Inputs'!$J$14-I12)/M12*100</x:f>
        <x:v>6.477765512569612</x:v>
      </x:c>
    </x:row>
    <x:row r="13">
      <x:c r="A13" t="n">
        <x:v>9</x:v>
      </x:c>
      <x:c r="B13" s="60" t="n">
        <x:v>49593</x:v>
      </x:c>
      <x:c r="C13" s="66" t="n">
        <x:f>(B13-B12)/360</x:f>
        <x:v>1.011111111111111</x:v>
      </x:c>
      <x:c r="D13" s="38" t="n">
        <x:f>'SOFR Inputs'!D27</x:f>
        <x:v>0.649628438303405</x:v>
      </x:c>
      <x:c r="E13" s="67" t="n">
        <x:f>MAX(0,MIN(B13,'SOFR Inputs'!$J$7)-'SOFR Inputs'!$J$5)</x:f>
        <x:v>164</x:v>
      </x:c>
      <x:c r="F13" s="67" t="n">
        <x:f>MAX(0,MIN(B13,'SOFR Inputs'!$J$8)-'SOFR Inputs'!$J$7)</x:f>
        <x:v>1827</x:v>
      </x:c>
      <x:c r="G13" s="67" t="n">
        <x:f>MAX(0,B13-'SOFR Inputs'!$J$8)</x:f>
        <x:v>1302</x:v>
      </x:c>
      <x:c r="H13" s="66" t="n">
        <x:f>E13/365*'SOFR Inputs'!$J$10+F13/365*'SOFR Inputs'!$J$11+G13/365*'SOFR Inputs'!$J$12</x:f>
        <x:v>0.14489397260273973</x:v>
      </x:c>
      <x:c r="I13" s="38" t="n">
        <x:f>D13*EXP(-H13)</x:f>
        <x:v>0.5620026658922274</x:v>
      </x:c>
      <x:c r="J13" s="66" t="n">
        <x:f>C13*D13</x:f>
        <x:v>0.6568465320623317</x:v>
      </x:c>
      <x:c r="K13" s="66" t="n">
        <x:f>C13*I13</x:f>
        <x:v>0.5682471399576965</x:v>
      </x:c>
      <x:c r="L13" s="66" t="n">
        <x:f>SUM($J$5:J13)</x:f>
        <x:v>7.272936021749945</x:v>
      </x:c>
      <x:c r="M13" s="66" t="n">
        <x:f>SUM($K$5:K13)</x:f>
        <x:v>6.743506451373014</x:v>
      </x:c>
      <x:c r="N13" s="88" t="n">
        <x:f>('SOFR Inputs'!$J$13-D13)/L13*100</x:f>
        <x:v>4.814492100384607</x:v>
      </x:c>
      <x:c r="O13" s="88" t="n">
        <x:f>('SOFR Inputs'!$J$14-I13)/M13*100</x:f>
        <x:v>6.490902336806472</x:v>
      </x:c>
    </x:row>
    <x:row r="14">
      <x:c r="A14" t="n">
        <x:v>10</x:v>
      </x:c>
      <x:c r="B14" s="60" t="n">
        <x:v>49957</x:v>
      </x:c>
      <x:c r="C14" s="66" t="n">
        <x:f>(B14-B13)/360</x:f>
        <x:v>1.011111111111111</x:v>
      </x:c>
      <x:c r="D14" s="38" t="n">
        <x:f>'SOFR Inputs'!D28</x:f>
        <x:v>0.617439070757705</x:v>
      </x:c>
      <x:c r="E14" s="67" t="n">
        <x:f>MAX(0,MIN(B14,'SOFR Inputs'!$J$7)-'SOFR Inputs'!$J$5)</x:f>
        <x:v>164</x:v>
      </x:c>
      <x:c r="F14" s="67" t="n">
        <x:f>MAX(0,MIN(B14,'SOFR Inputs'!$J$8)-'SOFR Inputs'!$J$7)</x:f>
        <x:v>1827</x:v>
      </x:c>
      <x:c r="G14" s="67" t="n">
        <x:f>MAX(0,B14-'SOFR Inputs'!$J$8)</x:f>
        <x:v>1666</x:v>
      </x:c>
      <x:c r="H14" s="66" t="n">
        <x:f>E14/365*'SOFR Inputs'!$J$10+F14/365*'SOFR Inputs'!$J$11+G14/365*'SOFR Inputs'!$J$12</x:f>
        <x:v>0.15995260273972606</x:v>
      </x:c>
      <x:c r="I14" s="38" t="n">
        <x:f>D14*EXP(-H14)</x:f>
        <x:v>0.5261718077223536</x:v>
      </x:c>
      <x:c r="J14" s="66" t="n">
        <x:f>C14*D14</x:f>
        <x:v>0.6242995048772351</x:v>
      </x:c>
      <x:c r="K14" s="66" t="n">
        <x:f>C14*I14</x:f>
        <x:v>0.5320181611414908</x:v>
      </x:c>
      <x:c r="L14" s="66" t="n">
        <x:f>SUM($J$5:J14)</x:f>
        <x:v>7.897235526627179</x:v>
      </x:c>
      <x:c r="M14" s="66" t="n">
        <x:f>SUM($K$5:K14)</x:f>
        <x:v>7.275524612514505</x:v>
      </x:c>
      <x:c r="N14" s="88" t="n">
        <x:f>('SOFR Inputs'!$J$13-D14)/L14*100</x:f>
        <x:v>4.841495438368577</x:v>
      </x:c>
      <x:c r="O14" s="88" t="n">
        <x:f>('SOFR Inputs'!$J$14-I14)/M14*100</x:f>
        <x:v>6.508744059365874</x:v>
      </x:c>
    </x:row>
    <x:row r="15">
      <x:c r="A15" t="n">
        <x:v>11</x:v>
      </x:c>
      <x:c r="B15" s="41" t="n">
        <x:v>50325</x:v>
      </x:c>
      <x:c r="C15" s="66" t="n">
        <x:f>(B15-B14)/360</x:f>
        <x:v>1.0222222222222221</x:v>
      </x:c>
      <x:c r="D15" s="38" t="n">
        <x:f>EXP(LN('SOFR Inputs'!D28)+((B15-B14)/(B16-B14))*(LN('SOFR Inputs'!D29)-LN('SOFR Inputs'!D28)))</x:f>
        <x:v>0.585924169175153</x:v>
      </x:c>
      <x:c r="E15" s="67" t="n">
        <x:f>MAX(0,MIN(B15,'SOFR Inputs'!$J$7)-'SOFR Inputs'!$J$5)</x:f>
        <x:v>164</x:v>
      </x:c>
      <x:c r="F15" s="67" t="n">
        <x:f>MAX(0,MIN(B15,'SOFR Inputs'!$J$8)-'SOFR Inputs'!$J$7)</x:f>
        <x:v>1827</x:v>
      </x:c>
      <x:c r="G15" s="67" t="n">
        <x:f>MAX(0,B15-'SOFR Inputs'!$J$8)</x:f>
        <x:v>2034</x:v>
      </x:c>
      <x:c r="H15" s="66" t="n">
        <x:f>E15/365*'SOFR Inputs'!$J$10+F15/365*'SOFR Inputs'!$J$11+G15/365*'SOFR Inputs'!$J$12</x:f>
        <x:v>0.17517671232876714</x:v>
      </x:c>
      <x:c r="I15" s="38" t="n">
        <x:f>D15*EXP(-H15)</x:f>
        <x:v>0.49177124773125624</x:v>
      </x:c>
      <x:c r="J15" s="66" t="n">
        <x:f>C15*D15</x:f>
        <x:v>0.5989447062679342</x:v>
      </x:c>
      <x:c r="K15" s="66" t="n">
        <x:f>C15*I15</x:f>
        <x:v>0.5026994976808397</x:v>
      </x:c>
      <x:c r="L15" s="66" t="n">
        <x:f>SUM($J$5:J15)</x:f>
        <x:v>8.496180232895114</x:v>
      </x:c>
      <x:c r="M15" s="66" t="n">
        <x:f>SUM($K$5:K15)</x:f>
        <x:v>7.778224110195344</x:v>
      </x:c>
      <x:c r="N15" s="88" t="n">
        <x:f>('SOFR Inputs'!$J$13-D15)/L15*100</x:f>
        <x:v>4.871120762705443</x:v>
      </x:c>
      <x:c r="O15" s="88" t="n">
        <x:f>('SOFR Inputs'!$J$14-I15)/M15*100</x:f>
        <x:v>6.530357428632646</x:v>
      </x:c>
    </x:row>
    <x:row r="16">
      <x:c r="A16" t="n">
        <x:v>12</x:v>
      </x:c>
      <x:c r="B16" s="60" t="n">
        <x:v>50690</x:v>
      </x:c>
      <x:c r="C16" s="66" t="n">
        <x:f>(B16-B15)/360</x:f>
        <x:v>1.0138888888888888</x:v>
      </x:c>
      <x:c r="D16" s="38" t="n">
        <x:f>'SOFR Inputs'!D29</x:f>
        <x:v>0.556255351358886</x:v>
      </x:c>
      <x:c r="E16" s="67" t="n">
        <x:f>MAX(0,MIN(B16,'SOFR Inputs'!$J$7)-'SOFR Inputs'!$J$5)</x:f>
        <x:v>164</x:v>
      </x:c>
      <x:c r="F16" s="67" t="n">
        <x:f>MAX(0,MIN(B16,'SOFR Inputs'!$J$8)-'SOFR Inputs'!$J$7)</x:f>
        <x:v>1827</x:v>
      </x:c>
      <x:c r="G16" s="67" t="n">
        <x:f>MAX(0,B16-'SOFR Inputs'!$J$8)</x:f>
        <x:v>2399</x:v>
      </x:c>
      <x:c r="H16" s="66" t="n">
        <x:f>E16/365*'SOFR Inputs'!$J$10+F16/365*'SOFR Inputs'!$J$11+G16/365*'SOFR Inputs'!$J$12</x:f>
        <x:v>0.19027671232876714</x:v>
      </x:c>
      <x:c r="I16" s="38" t="n">
        <x:f>D16*EXP(-H16)</x:f>
        <x:v>0.4598731734265462</x:v>
      </x:c>
      <x:c r="J16" s="66" t="n">
        <x:f>C16*D16</x:f>
        <x:v>0.5639811201277595</x:v>
      </x:c>
      <x:c r="K16" s="66" t="n">
        <x:f>C16*I16</x:f>
        <x:v>0.4662603008352482</x:v>
      </x:c>
      <x:c r="L16" s="66" t="n">
        <x:f>SUM($J$5:J16)</x:f>
        <x:v>9.060161353022874</x:v>
      </x:c>
      <x:c r="M16" s="66" t="n">
        <x:f>SUM($K$5:K16)</x:f>
        <x:v>8.244484411030593</x:v>
      </x:c>
      <x:c r="N16" s="88" t="n">
        <x:f>('SOFR Inputs'!$J$13-D16)/L16*100</x:f>
        <x:v>4.8953655447837665</x:v>
      </x:c>
      <x:c r="O16" s="88" t="n">
        <x:f>('SOFR Inputs'!$J$14-I16)/M16*100</x:f>
        <x:v>6.547940215379273</x:v>
      </x:c>
    </x:row>
    <x:row r="17">
      <x:c r="A17" t="n">
        <x:v>13</x:v>
      </x:c>
      <x:c r="B17" s="41" t="n">
        <x:v>51055</x:v>
      </x:c>
      <x:c r="C17" s="66" t="n">
        <x:f>(B17-B16)/360</x:f>
        <x:v>1.0138888888888888</x:v>
      </x:c>
      <x:c r="D17" s="38" t="n">
        <x:f>EXP(LN('SOFR Inputs'!D29)+((B17-B16)/(B19-B16))*(LN('SOFR Inputs'!D30)-LN('SOFR Inputs'!D29)))</x:f>
        <x:v>0.5276066432823358</x:v>
      </x:c>
      <x:c r="E17" s="67" t="n">
        <x:f>MAX(0,MIN(B17,'SOFR Inputs'!$J$7)-'SOFR Inputs'!$J$5)</x:f>
        <x:v>164</x:v>
      </x:c>
      <x:c r="F17" s="67" t="n">
        <x:f>MAX(0,MIN(B17,'SOFR Inputs'!$J$8)-'SOFR Inputs'!$J$7)</x:f>
        <x:v>1827</x:v>
      </x:c>
      <x:c r="G17" s="67" t="n">
        <x:f>MAX(0,B17-'SOFR Inputs'!$J$8)</x:f>
        <x:v>2764</x:v>
      </x:c>
      <x:c r="H17" s="66" t="n">
        <x:f>E17/365*'SOFR Inputs'!$J$10+F17/365*'SOFR Inputs'!$J$11+G17/365*'SOFR Inputs'!$J$12</x:f>
        <x:v>0.20537671232876714</x:v>
      </x:c>
      <x:c r="I17" s="38" t="n">
        <x:f>D17*EXP(-H17)</x:f>
        <x:v>0.42965145058206705</x:v>
      </x:c>
      <x:c r="J17" s="66" t="n">
        <x:f>C17*D17</x:f>
        <x:v>0.5349345133279237</x:v>
      </x:c>
      <x:c r="K17" s="66" t="n">
        <x:f>C17*I17</x:f>
        <x:v>0.4356188318401513</x:v>
      </x:c>
      <x:c r="L17" s="66" t="n">
        <x:f>SUM($J$5:J17)</x:f>
        <x:v>9.595095866350798</x:v>
      </x:c>
      <x:c r="M17" s="66" t="n">
        <x:f>SUM($K$5:K17)</x:f>
        <x:v>8.680103242870745</x:v>
      </x:c>
      <x:c r="N17" s="88" t="n">
        <x:f>('SOFR Inputs'!$J$13-D17)/L17*100</x:f>
        <x:v>4.921021445029343</x:v>
      </x:c>
      <x:c r="O17" s="88" t="n">
        <x:f>('SOFR Inputs'!$J$14-I17)/M17*100</x:f>
        <x:v>6.567498302664086</x:v>
      </x:c>
    </x:row>
    <x:row r="18">
      <x:c r="A18" t="n">
        <x:v>14</x:v>
      </x:c>
      <x:c r="B18" s="41" t="n">
        <x:v>51421</x:v>
      </x:c>
      <x:c r="C18" s="66" t="n">
        <x:f>(B18-B17)/360</x:f>
        <x:v>1.0166666666666666</x:v>
      </x:c>
      <x:c r="D18" s="38" t="n">
        <x:f>EXP(LN('SOFR Inputs'!D29)+((B18-B16)/(B19-B16))*(LN('SOFR Inputs'!D30)-LN('SOFR Inputs'!D29)))</x:f>
        <x:v>0.5003609328668778</x:v>
      </x:c>
      <x:c r="E18" s="67" t="n">
        <x:f>MAX(0,MIN(B18,'SOFR Inputs'!$J$7)-'SOFR Inputs'!$J$5)</x:f>
        <x:v>164</x:v>
      </x:c>
      <x:c r="F18" s="67" t="n">
        <x:f>MAX(0,MIN(B18,'SOFR Inputs'!$J$8)-'SOFR Inputs'!$J$7)</x:f>
        <x:v>1827</x:v>
      </x:c>
      <x:c r="G18" s="67" t="n">
        <x:f>MAX(0,B18-'SOFR Inputs'!$J$8)</x:f>
        <x:v>3130</x:v>
      </x:c>
      <x:c r="H18" s="66" t="n">
        <x:f>E18/365*'SOFR Inputs'!$J$10+F18/365*'SOFR Inputs'!$J$11+G18/365*'SOFR Inputs'!$J$12</x:f>
        <x:v>0.22051808219178082</x:v>
      </x:c>
      <x:c r="I18" s="38" t="n">
        <x:f>D18*EXP(-H18)</x:f>
        <x:v>0.4013410728579208</x:v>
      </x:c>
      <x:c r="J18" s="66" t="n">
        <x:f>C18*D18</x:f>
        <x:v>0.5087002817479924</x:v>
      </x:c>
      <x:c r="K18" s="66" t="n">
        <x:f>C18*I18</x:f>
        <x:v>0.40803009073888613</x:v>
      </x:c>
      <x:c r="L18" s="66" t="n">
        <x:f>SUM($J$5:J18)</x:f>
        <x:v>10.103796148098791</x:v>
      </x:c>
      <x:c r="M18" s="66" t="n">
        <x:f>SUM($K$5:K18)</x:f>
        <x:v>9.088133333609631</x:v>
      </x:c>
      <x:c r="N18" s="88" t="n">
        <x:f>('SOFR Inputs'!$J$13-D18)/L18*100</x:f>
        <x:v>4.942918763891332</x:v>
      </x:c>
      <x:c r="O18" s="88" t="n">
        <x:f>('SOFR Inputs'!$J$14-I18)/M18*100</x:f>
        <x:v>6.5841464787523005</x:v>
      </x:c>
    </x:row>
    <x:row r="19">
      <x:c r="A19" t="n">
        <x:v>15</x:v>
      </x:c>
      <x:c r="B19" s="60" t="n">
        <x:v>51783</x:v>
      </x:c>
      <x:c r="C19" s="66" t="n">
        <x:f>(B19-B18)/360</x:f>
        <x:v>1.0055555555555555</x:v>
      </x:c>
      <x:c r="D19" s="38" t="n">
        <x:f>'SOFR Inputs'!D30</x:f>
        <x:v>0.47479724631648</x:v>
      </x:c>
      <x:c r="E19" s="67" t="n">
        <x:f>MAX(0,MIN(B19,'SOFR Inputs'!$J$7)-'SOFR Inputs'!$J$5)</x:f>
        <x:v>164</x:v>
      </x:c>
      <x:c r="F19" s="67" t="n">
        <x:f>MAX(0,MIN(B19,'SOFR Inputs'!$J$8)-'SOFR Inputs'!$J$7)</x:f>
        <x:v>1827</x:v>
      </x:c>
      <x:c r="G19" s="67" t="n">
        <x:f>MAX(0,B19-'SOFR Inputs'!$J$8)</x:f>
        <x:v>3492</x:v>
      </x:c>
      <x:c r="H19" s="66" t="n">
        <x:f>E19/365*'SOFR Inputs'!$J$10+F19/365*'SOFR Inputs'!$J$11+G19/365*'SOFR Inputs'!$J$12</x:f>
        <x:v>0.23549397260273974</x:v>
      </x:c>
      <x:c r="I19" s="38" t="n">
        <x:f>D19*EXP(-H19)</x:f>
        <x:v>0.37517549022778846</x:v>
      </x:c>
      <x:c r="J19" s="66" t="n">
        <x:f>C19*D19</x:f>
        <x:v>0.477435008796016</x:v>
      </x:c>
      <x:c r="K19" s="66" t="n">
        <x:f>C19*I19</x:f>
        <x:v>0.3772597985068317</x:v>
      </x:c>
      <x:c r="L19" s="66" t="n">
        <x:f>SUM($J$5:J19)</x:f>
        <x:v>10.581231156894807</x:v>
      </x:c>
      <x:c r="M19" s="66" t="n">
        <x:f>SUM($K$5:K19)</x:f>
        <x:v>9.465393132116462</x:v>
      </x:c>
      <x:c r="N19" s="88" t="n">
        <x:f>('SOFR Inputs'!$J$13-D19)/L19*100</x:f>
        <x:v>4.9614842964470895</x:v>
      </x:c>
      <x:c r="O19" s="88" t="n">
        <x:f>('SOFR Inputs'!$J$14-I19)/M19*100</x:f>
        <x:v>6.598157992827685</x:v>
      </x:c>
    </x:row>
    <x:row r="20">
      <x:c r="A20" t="n">
        <x:v>16</x:v>
      </x:c>
      <x:c r="B20" s="41" t="n">
        <x:v>52149</x:v>
      </x:c>
      <x:c r="C20" s="66" t="n">
        <x:f>(B20-B19)/360</x:f>
        <x:v>1.0166666666666666</x:v>
      </x:c>
      <x:c r="D20" s="38" t="n">
        <x:f>EXP(LN('SOFR Inputs'!D30)+((B20-B19)/(B24-B19))*(LN('SOFR Inputs'!D31)-LN('SOFR Inputs'!D30)))</x:f>
        <x:v>0.45081142960539683</x:v>
      </x:c>
      <x:c r="E20" s="67" t="n">
        <x:f>MAX(0,MIN(B20,'SOFR Inputs'!$J$7)-'SOFR Inputs'!$J$5)</x:f>
        <x:v>164</x:v>
      </x:c>
      <x:c r="F20" s="67" t="n">
        <x:f>MAX(0,MIN(B20,'SOFR Inputs'!$J$8)-'SOFR Inputs'!$J$7)</x:f>
        <x:v>1827</x:v>
      </x:c>
      <x:c r="G20" s="67" t="n">
        <x:f>MAX(0,B20-'SOFR Inputs'!$J$8)</x:f>
        <x:v>3858</x:v>
      </x:c>
      <x:c r="H20" s="66" t="n">
        <x:f>E20/365*'SOFR Inputs'!$J$10+F20/365*'SOFR Inputs'!$J$11+G20/365*'SOFR Inputs'!$J$12</x:f>
        <x:v>0.2506353424657534</x:v>
      </x:c>
      <x:c r="I20" s="38" t="n">
        <x:f>D20*EXP(-H20)</x:f>
        <x:v>0.35086930139615685</x:v>
      </x:c>
      <x:c r="J20" s="66" t="n">
        <x:f>C20*D20</x:f>
        <x:v>0.4583249534321534</x:v>
      </x:c>
      <x:c r="K20" s="66" t="n">
        <x:f>C20*I20</x:f>
        <x:v>0.35671712308609277</x:v>
      </x:c>
      <x:c r="L20" s="66" t="n">
        <x:f>SUM($J$5:J20)</x:f>
        <x:v>11.039556110326961</x:v>
      </x:c>
      <x:c r="M20" s="66" t="n">
        <x:f>SUM($K$5:K20)</x:f>
        <x:v>9.822110255202555</x:v>
      </x:c>
      <x:c r="N20" s="88" t="n">
        <x:f>('SOFR Inputs'!$J$13-D20)/L20*100</x:f>
        <x:v>4.97277185282522</x:v>
      </x:c>
      <x:c r="O20" s="88" t="n">
        <x:f>('SOFR Inputs'!$J$14-I20)/M20*100</x:f>
        <x:v>6.605991640006854</x:v>
      </x:c>
    </x:row>
    <x:row r="21">
      <x:c r="A21" t="n">
        <x:v>17</x:v>
      </x:c>
      <x:c r="B21" s="41" t="n">
        <x:v>52516</x:v>
      </x:c>
      <x:c r="C21" s="66" t="n">
        <x:f>(B21-B20)/360</x:f>
        <x:v>1.0194444444444444</x:v>
      </x:c>
      <x:c r="D21" s="38" t="n">
        <x:f>EXP(LN('SOFR Inputs'!D30)+((B21-B19)/(B24-B19))*(LN('SOFR Inputs'!D31)-LN('SOFR Inputs'!D30)))</x:f>
        <x:v>0.42797670771406787</x:v>
      </x:c>
      <x:c r="E21" s="67" t="n">
        <x:f>MAX(0,MIN(B21,'SOFR Inputs'!$J$7)-'SOFR Inputs'!$J$5)</x:f>
        <x:v>164</x:v>
      </x:c>
      <x:c r="F21" s="67" t="n">
        <x:f>MAX(0,MIN(B21,'SOFR Inputs'!$J$8)-'SOFR Inputs'!$J$7)</x:f>
        <x:v>1827</x:v>
      </x:c>
      <x:c r="G21" s="67" t="n">
        <x:f>MAX(0,B21-'SOFR Inputs'!$J$8)</x:f>
        <x:v>4225</x:v>
      </x:c>
      <x:c r="H21" s="66" t="n">
        <x:f>E21/365*'SOFR Inputs'!$J$10+F21/365*'SOFR Inputs'!$J$11+G21/365*'SOFR Inputs'!$J$12</x:f>
        <x:v>0.2658180821917808</x:v>
      </x:c>
      <x:c r="I21" s="38" t="n">
        <x:f>D21*EXP(-H21)</x:f>
        <x:v>0.3280777722119868</x:v>
      </x:c>
      <x:c r="J21" s="66" t="n">
        <x:f>C21*D21</x:f>
        <x:v>0.43629847703073027</x:v>
      </x:c>
      <x:c r="K21" s="66" t="n">
        <x:f>C21*I21</x:f>
        <x:v>0.3344570622272199</x:v>
      </x:c>
      <x:c r="L21" s="66" t="n">
        <x:f>SUM($J$5:J21)</x:f>
        <x:v>11.475854587357691</x:v>
      </x:c>
      <x:c r="M21" s="66" t="n">
        <x:f>SUM($K$5:K21)</x:f>
        <x:v>10.156567317429774</x:v>
      </x:c>
      <x:c r="N21" s="88" t="n">
        <x:f>('SOFR Inputs'!$J$13-D21)/L21*100</x:f>
        <x:v>4.982693501993675</x:v>
      </x:c>
      <x:c r="O21" s="88" t="n">
        <x:f>('SOFR Inputs'!$J$14-I21)/M21*100</x:f>
        <x:v>6.612857381080915</x:v>
      </x:c>
    </x:row>
    <x:row r="22">
      <x:c r="A22" t="n">
        <x:v>18</x:v>
      </x:c>
      <x:c r="B22" s="41" t="n">
        <x:v>52882</x:v>
      </x:c>
      <x:c r="C22" s="66" t="n">
        <x:f>(B22-B21)/360</x:f>
        <x:v>1.0166666666666666</x:v>
      </x:c>
      <x:c r="D22" s="38" t="n">
        <x:f>EXP(LN('SOFR Inputs'!D30)+((B22-B19)/(B24-B19))*(LN('SOFR Inputs'!D31)-LN('SOFR Inputs'!D30)))</x:f>
        <x:v>0.40635617190118745</x:v>
      </x:c>
      <x:c r="E22" s="67" t="n">
        <x:f>MAX(0,MIN(B22,'SOFR Inputs'!$J$7)-'SOFR Inputs'!$J$5)</x:f>
        <x:v>164</x:v>
      </x:c>
      <x:c r="F22" s="67" t="n">
        <x:f>MAX(0,MIN(B22,'SOFR Inputs'!$J$8)-'SOFR Inputs'!$J$7)</x:f>
        <x:v>1827</x:v>
      </x:c>
      <x:c r="G22" s="67" t="n">
        <x:f>MAX(0,B22-'SOFR Inputs'!$J$8)</x:f>
        <x:v>4591</x:v>
      </x:c>
      <x:c r="H22" s="66" t="n">
        <x:f>E22/365*'SOFR Inputs'!$J$10+F22/365*'SOFR Inputs'!$J$11+G22/365*'SOFR Inputs'!$J$12</x:f>
        <x:v>0.28095945205479456</x:v>
      </x:c>
      <x:c r="I22" s="38" t="n">
        <x:f>D22*EXP(-H22)</x:f>
        <x:v>0.3068228648671494</x:v>
      </x:c>
      <x:c r="J22" s="66" t="n">
        <x:f>C22*D22</x:f>
        <x:v>0.4131287747662072</x:v>
      </x:c>
      <x:c r="K22" s="66" t="n">
        <x:f>C22*I22</x:f>
        <x:v>0.31193657928160184</x:v>
      </x:c>
      <x:c r="L22" s="66" t="n">
        <x:f>SUM($J$5:J22)</x:f>
        <x:v>11.888983362123899</x:v>
      </x:c>
      <x:c r="M22" s="66" t="n">
        <x:f>SUM($K$5:K22)</x:f>
        <x:v>10.468503896711375</x:v>
      </x:c>
      <x:c r="N22" s="88" t="n">
        <x:f>('SOFR Inputs'!$J$13-D22)/L22*100</x:f>
        <x:v>4.99140404658942</x:v>
      </x:c>
      <x:c r="O22" s="88" t="n">
        <x:f>('SOFR Inputs'!$J$14-I22)/M22*100</x:f>
        <x:v>6.618846644147623</x:v>
      </x:c>
    </x:row>
    <x:row r="23">
      <x:c r="A23" t="n">
        <x:v>19</x:v>
      </x:c>
      <x:c r="B23" s="41" t="n">
        <x:v>53247</x:v>
      </x:c>
      <x:c r="C23" s="66" t="n">
        <x:f>(B23-B22)/360</x:f>
        <x:v>1.0138888888888888</x:v>
      </x:c>
      <x:c r="D23" s="38" t="n">
        <x:f>EXP(LN('SOFR Inputs'!D30)+((B23-B19)/(B24-B19))*(LN('SOFR Inputs'!D31)-LN('SOFR Inputs'!D30)))</x:f>
        <x:v>0.3858825136793818</x:v>
      </x:c>
      <x:c r="E23" s="67" t="n">
        <x:f>MAX(0,MIN(B23,'SOFR Inputs'!$J$7)-'SOFR Inputs'!$J$5)</x:f>
        <x:v>164</x:v>
      </x:c>
      <x:c r="F23" s="67" t="n">
        <x:f>MAX(0,MIN(B23,'SOFR Inputs'!$J$8)-'SOFR Inputs'!$J$7)</x:f>
        <x:v>1827</x:v>
      </x:c>
      <x:c r="G23" s="67" t="n">
        <x:f>MAX(0,B23-'SOFR Inputs'!$J$8)</x:f>
        <x:v>4956</x:v>
      </x:c>
      <x:c r="H23" s="66" t="n">
        <x:f>E23/365*'SOFR Inputs'!$J$10+F23/365*'SOFR Inputs'!$J$11+G23/365*'SOFR Inputs'!$J$12</x:f>
        <x:v>0.29605945205479456</x:v>
      </x:c>
      <x:c r="I23" s="38" t="n">
        <x:f>D23*EXP(-H23)</x:f>
        <x:v>0.2869974992692836</x:v>
      </x:c>
      <x:c r="J23" s="66" t="n">
        <x:f>C23*D23</x:f>
        <x:v>0.39124199303603985</x:v>
      </x:c>
      <x:c r="K23" s="66" t="n">
        <x:f>C23*I23</x:f>
        <x:v>0.29098357564802363</x:v>
      </x:c>
      <x:c r="L23" s="66" t="n">
        <x:f>SUM($J$5:J23)</x:f>
        <x:v>12.280225355159939</x:v>
      </x:c>
      <x:c r="M23" s="66" t="n">
        <x:f>SUM($K$5:K23)</x:f>
        <x:v>10.7594874723594</x:v>
      </x:c>
      <x:c r="N23" s="88" t="n">
        <x:f>('SOFR Inputs'!$J$13-D23)/L23*100</x:f>
        <x:v>4.999100888643302</x:v>
      </x:c>
      <x:c r="O23" s="88" t="n">
        <x:f>('SOFR Inputs'!$J$14-I23)/M23*100</x:f>
        <x:v>6.624103483448926</x:v>
      </x:c>
    </x:row>
    <x:row r="24">
      <x:c r="A24" t="n">
        <x:v>20</x:v>
      </x:c>
      <x:c r="B24" s="60" t="n">
        <x:v>53611</x:v>
      </x:c>
      <x:c r="C24" s="66" t="n">
        <x:f>(B24-B23)/360</x:f>
        <x:v>1.011111111111111</x:v>
      </x:c>
      <x:c r="D24" s="38" t="n">
        <x:f>'SOFR Inputs'!D31</x:f>
        <x:v>0.366492295400916</x:v>
      </x:c>
      <x:c r="E24" s="67" t="n">
        <x:f>MAX(0,MIN(B24,'SOFR Inputs'!$J$7)-'SOFR Inputs'!$J$5)</x:f>
        <x:v>164</x:v>
      </x:c>
      <x:c r="F24" s="67" t="n">
        <x:f>MAX(0,MIN(B24,'SOFR Inputs'!$J$8)-'SOFR Inputs'!$J$7)</x:f>
        <x:v>1827</x:v>
      </x:c>
      <x:c r="G24" s="67" t="n">
        <x:f>MAX(0,B24-'SOFR Inputs'!$J$8)</x:f>
        <x:v>5320</x:v>
      </x:c>
      <x:c r="H24" s="66" t="n">
        <x:f>E24/365*'SOFR Inputs'!$J$10+F24/365*'SOFR Inputs'!$J$11+G24/365*'SOFR Inputs'!$J$12</x:f>
        <x:v>0.31111808219178083</x:v>
      </x:c>
      <x:c r="I24" s="38" t="n">
        <x:f>D24*EXP(-H24)</x:f>
        <x:v>0.2685022830293836</x:v>
      </x:c>
      <x:c r="J24" s="66" t="n">
        <x:f>C24*D24</x:f>
        <x:v>0.3705644320164817</x:v>
      </x:c>
      <x:c r="K24" s="66" t="n">
        <x:f>C24*I24</x:f>
        <x:v>0.27148564172971007</x:v>
      </x:c>
      <x:c r="L24" s="66" t="n">
        <x:f>SUM($J$5:J24)</x:f>
        <x:v>12.65078978717642</x:v>
      </x:c>
      <x:c r="M24" s="66" t="n">
        <x:f>SUM($K$5:K24)</x:f>
        <x:v>11.03097311408911</x:v>
      </x:c>
      <x:c r="N24" s="88" t="n">
        <x:f>('SOFR Inputs'!$J$13-D24)/L24*100</x:f>
        <x:v>5.0059410028108084</x:v>
      </x:c>
      <x:c r="O24" s="88" t="n">
        <x:f>('SOFR Inputs'!$J$14-I24)/M24*100</x:f>
        <x:v>6.628742479335563</x:v>
      </x:c>
    </x:row>
    <x:row r="25">
      <x:c r="A25" t="n">
        <x:v>21</x:v>
      </x:c>
      <x:c r="B25" s="41" t="n">
        <x:v>53976</x:v>
      </x:c>
      <x:c r="C25" s="66" t="n">
        <x:f>(B25-B24)/360</x:f>
        <x:v>1.0138888888888888</x:v>
      </x:c>
      <x:c r="D25" s="38" t="n">
        <x:f>EXP(LN('SOFR Inputs'!D31)+((B25-B24)/(B29-B24))*(LN('SOFR Inputs'!D32)-LN('SOFR Inputs'!D31)))</x:f>
        <x:v>0.3493826596083397</x:v>
      </x:c>
      <x:c r="E25" s="67" t="n">
        <x:f>MAX(0,MIN(B25,'SOFR Inputs'!$J$7)-'SOFR Inputs'!$J$5)</x:f>
        <x:v>164</x:v>
      </x:c>
      <x:c r="F25" s="67" t="n">
        <x:f>MAX(0,MIN(B25,'SOFR Inputs'!$J$8)-'SOFR Inputs'!$J$7)</x:f>
        <x:v>1827</x:v>
      </x:c>
      <x:c r="G25" s="67" t="n">
        <x:f>MAX(0,B25-'SOFR Inputs'!$J$8)</x:f>
        <x:v>5685</x:v>
      </x:c>
      <x:c r="H25" s="66" t="n">
        <x:f>E25/365*'SOFR Inputs'!$J$10+F25/365*'SOFR Inputs'!$J$11+G25/365*'SOFR Inputs'!$J$12</x:f>
        <x:v>0.32621808219178083</x:v>
      </x:c>
      <x:c r="I25" s="38" t="n">
        <x:f>D25*EXP(-H25)</x:f>
        <x:v>0.25213122477777655</x:v>
      </x:c>
      <x:c r="J25" s="66" t="n">
        <x:f>C25*D25</x:f>
        <x:v>0.3542351965473444</x:v>
      </x:c>
      <x:c r="K25" s="66" t="n">
        <x:f>C25*I25</x:f>
        <x:v>0.25563304734413456</x:v>
      </x:c>
      <x:c r="L25" s="66" t="n">
        <x:f>SUM($J$5:J25)</x:f>
        <x:v>13.005024983723764</x:v>
      </x:c>
      <x:c r="M25" s="66" t="n">
        <x:f>SUM($K$5:K25)</x:f>
        <x:v>11.286606161433244</x:v>
      </x:c>
      <x:c r="N25" s="88" t="n">
        <x:f>('SOFR Inputs'!$J$13-D25)/L25*100</x:f>
        <x:v>5.001149246097118</x:v>
      </x:c>
      <x:c r="O25" s="88" t="n">
        <x:f>('SOFR Inputs'!$J$14-I25)/M25*100</x:f>
        <x:v>6.623655049680442</x:v>
      </x:c>
    </x:row>
    <x:row r="26">
      <x:c r="A26" t="n">
        <x:v>22</x:v>
      </x:c>
      <x:c r="B26" s="41" t="n">
        <x:v>54343</x:v>
      </x:c>
      <x:c r="C26" s="66" t="n">
        <x:f>(B26-B25)/360</x:f>
        <x:v>1.0194444444444444</x:v>
      </x:c>
      <x:c r="D26" s="38" t="n">
        <x:f>EXP(LN('SOFR Inputs'!D31)+((B26-B24)/(B29-B24))*(LN('SOFR Inputs'!D32)-LN('SOFR Inputs'!D31)))</x:f>
        <x:v>0.33298454073659695</x:v>
      </x:c>
      <x:c r="E26" s="67" t="n">
        <x:f>MAX(0,MIN(B26,'SOFR Inputs'!$J$7)-'SOFR Inputs'!$J$5)</x:f>
        <x:v>164</x:v>
      </x:c>
      <x:c r="F26" s="67" t="n">
        <x:f>MAX(0,MIN(B26,'SOFR Inputs'!$J$8)-'SOFR Inputs'!$J$7)</x:f>
        <x:v>1827</x:v>
      </x:c>
      <x:c r="G26" s="67" t="n">
        <x:f>MAX(0,B26-'SOFR Inputs'!$J$8)</x:f>
        <x:v>6052</x:v>
      </x:c>
      <x:c r="H26" s="66" t="n">
        <x:f>E26/365*'SOFR Inputs'!$J$10+F26/365*'SOFR Inputs'!$J$11+G26/365*'SOFR Inputs'!$J$12</x:f>
        <x:v>0.34140082191780824</x:v>
      </x:c>
      <x:c r="I26" s="38" t="n">
        <x:f>D26*EXP(-H26)</x:f>
        <x:v>0.23667673974648054</x:v>
      </x:c>
      <x:c r="J26" s="66" t="n">
        <x:f>C26*D26</x:f>
        <x:v>0.33945924013980855</x:v>
      </x:c>
      <x:c r="K26" s="66" t="n">
        <x:f>C26*I26</x:f>
        <x:v>0.2412787874637732</x:v>
      </x:c>
      <x:c r="L26" s="66" t="n">
        <x:f>SUM($J$5:J26)</x:f>
        <x:v>13.344484223863573</x:v>
      </x:c>
      <x:c r="M26" s="66" t="n">
        <x:f>SUM($K$5:K26)</x:f>
        <x:v>11.527884948897018</x:v>
      </x:c>
      <x:c r="N26" s="88" t="n">
        <x:f>('SOFR Inputs'!$J$13-D26)/L26*100</x:f>
        <x:v>4.996812290486041</x:v>
      </x:c>
      <x:c r="O26" s="88" t="n">
        <x:f>('SOFR Inputs'!$J$14-I26)/M26*100</x:f>
        <x:v>6.61908361649307</x:v>
      </x:c>
    </x:row>
    <x:row r="27">
      <x:c r="A27" t="n">
        <x:v>23</x:v>
      </x:c>
      <x:c r="B27" s="41" t="n">
        <x:v>54708</x:v>
      </x:c>
      <x:c r="C27" s="66" t="n">
        <x:f>(B27-B26)/360</x:f>
        <x:v>1.0138888888888888</x:v>
      </x:c>
      <x:c r="D27" s="38" t="n">
        <x:f>EXP(LN('SOFR Inputs'!D31)+((B27-B24)/(B29-B24))*(LN('SOFR Inputs'!D32)-LN('SOFR Inputs'!D31)))</x:f>
        <x:v>0.3174392092574479</x:v>
      </x:c>
      <x:c r="E27" s="67" t="n">
        <x:f>MAX(0,MIN(B27,'SOFR Inputs'!$J$7)-'SOFR Inputs'!$J$5)</x:f>
        <x:v>164</x:v>
      </x:c>
      <x:c r="F27" s="67" t="n">
        <x:f>MAX(0,MIN(B27,'SOFR Inputs'!$J$8)-'SOFR Inputs'!$J$7)</x:f>
        <x:v>1827</x:v>
      </x:c>
      <x:c r="G27" s="67" t="n">
        <x:f>MAX(0,B27-'SOFR Inputs'!$J$8)</x:f>
        <x:v>6417</x:v>
      </x:c>
      <x:c r="H27" s="66" t="n">
        <x:f>E27/365*'SOFR Inputs'!$J$10+F27/365*'SOFR Inputs'!$J$11+G27/365*'SOFR Inputs'!$J$12</x:f>
        <x:v>0.35650082191780824</x:v>
      </x:c>
      <x:c r="I27" s="38" t="n">
        <x:f>D27*EXP(-H27)</x:f>
        <x:v>0.22224614105855037</x:v>
      </x:c>
      <x:c r="J27" s="66" t="n">
        <x:f>C27*D27</x:f>
        <x:v>0.3218480871638013</x:v>
      </x:c>
      <x:c r="K27" s="66" t="n">
        <x:f>C27*I27</x:f>
        <x:v>0.22533289301769688</x:v>
      </x:c>
      <x:c r="L27" s="66" t="n">
        <x:f>SUM($J$5:J27)</x:f>
        <x:v>13.666332311027373</x:v>
      </x:c>
      <x:c r="M27" s="66" t="n">
        <x:f>SUM($K$5:K27)</x:f>
        <x:v>11.753217841914715</x:v>
      </x:c>
      <x:c r="N27" s="88" t="n">
        <x:f>('SOFR Inputs'!$J$13-D27)/L27*100</x:f>
        <x:v>4.992884292214603</x:v>
      </x:c>
      <x:c r="O27" s="88" t="n">
        <x:f>('SOFR Inputs'!$J$14-I27)/M27*100</x:f>
        <x:v>6.614962413917834</x:v>
      </x:c>
    </x:row>
    <x:row r="28">
      <x:c r="A28" t="n">
        <x:v>24</x:v>
      </x:c>
      <x:c r="B28" s="41" t="n">
        <x:v>55073</x:v>
      </x:c>
      <x:c r="C28" s="66" t="n">
        <x:f>(B28-B27)/360</x:f>
        <x:v>1.0138888888888888</x:v>
      </x:c>
      <x:c r="D28" s="38" t="n">
        <x:f>EXP(LN('SOFR Inputs'!D31)+((B28-B24)/(B29-B24))*(LN('SOFR Inputs'!D32)-LN('SOFR Inputs'!D31)))</x:f>
        <x:v>0.3026196091598881</x:v>
      </x:c>
      <x:c r="E28" s="67" t="n">
        <x:f>MAX(0,MIN(B28,'SOFR Inputs'!$J$7)-'SOFR Inputs'!$J$5)</x:f>
        <x:v>164</x:v>
      </x:c>
      <x:c r="F28" s="67" t="n">
        <x:f>MAX(0,MIN(B28,'SOFR Inputs'!$J$8)-'SOFR Inputs'!$J$7)</x:f>
        <x:v>1827</x:v>
      </x:c>
      <x:c r="G28" s="67" t="n">
        <x:f>MAX(0,B28-'SOFR Inputs'!$J$8)</x:f>
        <x:v>6782</x:v>
      </x:c>
      <x:c r="H28" s="66" t="n">
        <x:f>E28/365*'SOFR Inputs'!$J$10+F28/365*'SOFR Inputs'!$J$11+G28/365*'SOFR Inputs'!$J$12</x:f>
        <x:v>0.37160082191780824</x:v>
      </x:c>
      <x:c r="I28" s="38" t="n">
        <x:f>D28*EXP(-H28)</x:f>
        <x:v>0.20869540145062596</x:v>
      </x:c>
      <x:c r="J28" s="66" t="n">
        <x:f>C28*D28</x:f>
        <x:v>0.3068226592871088</x:v>
      </x:c>
      <x:c r="K28" s="66" t="n">
        <x:f>C28*I28</x:f>
        <x:v>0.21159394869299575</x:v>
      </x:c>
      <x:c r="L28" s="66" t="n">
        <x:f>SUM($J$5:J28)</x:f>
        <x:v>13.973154970314482</x:v>
      </x:c>
      <x:c r="M28" s="66" t="n">
        <x:f>SUM($K$5:K28)</x:f>
        <x:v>11.96481179060771</x:v>
      </x:c>
      <x:c r="N28" s="88" t="n">
        <x:f>('SOFR Inputs'!$J$13-D28)/L28*100</x:f>
        <x:v>4.989308147356816</x:v>
      </x:c>
      <x:c r="O28" s="88" t="n">
        <x:f>('SOFR Inputs'!$J$14-I28)/M28*100</x:f>
        <x:v>6.611233808938087</x:v>
      </x:c>
    </x:row>
    <x:row r="29">
      <x:c r="A29" t="n">
        <x:v>25</x:v>
      </x:c>
      <x:c r="B29" s="60" t="n">
        <x:v>55438</x:v>
      </x:c>
      <x:c r="C29" s="66" t="n">
        <x:f>(B29-B28)/360</x:f>
        <x:v>1.0138888888888888</x:v>
      </x:c>
      <x:c r="D29" s="38" t="n">
        <x:f>'SOFR Inputs'!D32</x:f>
        <x:v>0.288491859787276</x:v>
      </x:c>
      <x:c r="E29" s="67" t="n">
        <x:f>MAX(0,MIN(B29,'SOFR Inputs'!$J$7)-'SOFR Inputs'!$J$5)</x:f>
        <x:v>164</x:v>
      </x:c>
      <x:c r="F29" s="67" t="n">
        <x:f>MAX(0,MIN(B29,'SOFR Inputs'!$J$8)-'SOFR Inputs'!$J$7)</x:f>
        <x:v>1827</x:v>
      </x:c>
      <x:c r="G29" s="67" t="n">
        <x:f>MAX(0,B29-'SOFR Inputs'!$J$8)</x:f>
        <x:v>7147</x:v>
      </x:c>
      <x:c r="H29" s="66" t="n">
        <x:f>E29/365*'SOFR Inputs'!$J$10+F29/365*'SOFR Inputs'!$J$11+G29/365*'SOFR Inputs'!$J$12</x:f>
        <x:v>0.38670082191780825</x:v>
      </x:c>
      <x:c r="I29" s="38" t="n">
        <x:f>D29*EXP(-H29)</x:f>
        <x:v>0.19597087436116045</x:v>
      </x:c>
      <x:c r="J29" s="66" t="n">
        <x:f>C29*D29</x:f>
        <x:v>0.29249869117321037</x:v>
      </x:c>
      <x:c r="K29" s="66" t="n">
        <x:f>C29*I29</x:f>
        <x:v>0.198692692060621</x:v>
      </x:c>
      <x:c r="L29" s="66" t="n">
        <x:f>SUM($J$5:J29)</x:f>
        <x:v>14.265653661487693</x:v>
      </x:c>
      <x:c r="M29" s="66" t="n">
        <x:f>SUM($K$5:K29)</x:f>
        <x:v>12.163504482668332</x:v>
      </x:c>
      <x:c r="N29" s="88" t="n">
        <x:f>('SOFR Inputs'!$J$13-D29)/L29*100</x:f>
        <x:v>4.986042179543069</x:v>
      </x:c>
      <x:c r="O29" s="88" t="n">
        <x:f>('SOFR Inputs'!$J$14-I29)/M29*100</x:f>
        <x:v>6.607850644616309</x:v>
      </x:c>
    </x:row>
    <x:row r="30">
      <x:c r="A30" t="n">
        <x:v>26</x:v>
      </x:c>
      <x:c r="B30" s="41" t="n">
        <x:v>55803</x:v>
      </x:c>
      <x:c r="C30" s="66" t="n">
        <x:f>(B30-B29)/360</x:f>
        <x:v>1.0138888888888888</x:v>
      </x:c>
      <x:c r="D30" s="38" t="n">
        <x:f>EXP(LN('SOFR Inputs'!D32)+((B30-B29)/(B34-B29))*(LN('SOFR Inputs'!D33)-LN('SOFR Inputs'!D32)))</x:f>
        <x:v>0.2762222855654316</x:v>
      </x:c>
      <x:c r="E30" s="67" t="n">
        <x:f>MAX(0,MIN(B30,'SOFR Inputs'!$J$7)-'SOFR Inputs'!$J$5)</x:f>
        <x:v>164</x:v>
      </x:c>
      <x:c r="F30" s="67" t="n">
        <x:f>MAX(0,MIN(B30,'SOFR Inputs'!$J$8)-'SOFR Inputs'!$J$7)</x:f>
        <x:v>1827</x:v>
      </x:c>
      <x:c r="G30" s="67" t="n">
        <x:f>MAX(0,B30-'SOFR Inputs'!$J$8)</x:f>
        <x:v>7512</x:v>
      </x:c>
      <x:c r="H30" s="66" t="n">
        <x:f>E30/365*'SOFR Inputs'!$J$10+F30/365*'SOFR Inputs'!$J$11+G30/365*'SOFR Inputs'!$J$12</x:f>
        <x:v>0.40180082191780825</x:v>
      </x:c>
      <x:c r="I30" s="38" t="n">
        <x:f>D30*EXP(-H30)</x:f>
        <x:v>0.18482419983759965</x:v>
      </x:c>
      <x:c r="J30" s="66" t="n">
        <x:f>C30*D30</x:f>
        <x:v>0.2800587061982848</x:v>
      </x:c>
      <x:c r="K30" s="66" t="n">
        <x:f>C30*I30</x:f>
        <x:v>0.18739120261312187</x:v>
      </x:c>
      <x:c r="L30" s="66" t="n">
        <x:f>SUM($J$5:J30)</x:f>
        <x:v>14.545712367685978</x:v>
      </x:c>
      <x:c r="M30" s="66" t="n">
        <x:f>SUM($K$5:K30)</x:f>
        <x:v>12.350895685281454</x:v>
      </x:c>
      <x:c r="N30" s="88" t="n">
        <x:f>('SOFR Inputs'!$J$13-D30)/L30*100</x:f>
        <x:v>4.97439427290325</x:v>
      </x:c>
      <x:c r="O30" s="88" t="n">
        <x:f>('SOFR Inputs'!$J$14-I30)/M30*100</x:f>
        <x:v>6.597844436987679</x:v>
      </x:c>
    </x:row>
    <x:row r="31">
      <x:c r="A31" t="n">
        <x:v>27</x:v>
      </x:c>
      <x:c r="B31" s="41" t="n">
        <x:v>56167</x:v>
      </x:c>
      <x:c r="C31" s="66" t="n">
        <x:f>(B31-B30)/360</x:f>
        <x:v>1.011111111111111</x:v>
      </x:c>
      <x:c r="D31" s="38" t="n">
        <x:f>EXP(LN('SOFR Inputs'!D32)+((B31-B29)/(B34-B29))*(LN('SOFR Inputs'!D33)-LN('SOFR Inputs'!D32)))</x:f>
        <x:v>0.2645060301361469</x:v>
      </x:c>
      <x:c r="E31" s="67" t="n">
        <x:f>MAX(0,MIN(B31,'SOFR Inputs'!$J$7)-'SOFR Inputs'!$J$5)</x:f>
        <x:v>164</x:v>
      </x:c>
      <x:c r="F31" s="67" t="n">
        <x:f>MAX(0,MIN(B31,'SOFR Inputs'!$J$8)-'SOFR Inputs'!$J$7)</x:f>
        <x:v>1827</x:v>
      </x:c>
      <x:c r="G31" s="67" t="n">
        <x:f>MAX(0,B31-'SOFR Inputs'!$J$8)</x:f>
        <x:v>7876</x:v>
      </x:c>
      <x:c r="H31" s="66" t="n">
        <x:f>E31/365*'SOFR Inputs'!$J$10+F31/365*'SOFR Inputs'!$J$11+G31/365*'SOFR Inputs'!$J$12</x:f>
        <x:v>0.4168594520547946</x:v>
      </x:c>
      <x:c r="I31" s="38" t="n">
        <x:f>D31*EXP(-H31)</x:f>
        <x:v>0.17433950864895287</x:v>
      </x:c>
      <x:c r="J31" s="66" t="n">
        <x:f>C31*D31</x:f>
        <x:v>0.2674449860265485</x:v>
      </x:c>
      <x:c r="K31" s="66" t="n">
        <x:f>C31*I31</x:f>
        <x:v>0.1762766143006079</x:v>
      </x:c>
      <x:c r="L31" s="66" t="n">
        <x:f>SUM($J$5:J31)</x:f>
        <x:v>14.813157353712526</x:v>
      </x:c>
      <x:c r="M31" s="66" t="n">
        <x:f>SUM($K$5:K31)</x:f>
        <x:v>12.527172299582062</x:v>
      </x:c>
      <x:c r="N31" s="88" t="n">
        <x:f>('SOFR Inputs'!$J$13-D31)/L31*100</x:f>
        <x:v>4.963677363598368</x:v>
      </x:c>
      <x:c r="O31" s="88" t="n">
        <x:f>('SOFR Inputs'!$J$14-I31)/M31*100</x:f>
        <x:v>6.588698194130188</x:v>
      </x:c>
    </x:row>
    <x:row r="32">
      <x:c r="A32" t="n">
        <x:v>28</x:v>
      </x:c>
      <x:c r="B32" s="41" t="n">
        <x:v>56534</x:v>
      </x:c>
      <x:c r="C32" s="66" t="n">
        <x:f>(B32-B31)/360</x:f>
        <x:v>1.0194444444444444</x:v>
      </x:c>
      <x:c r="D32" s="38" t="n">
        <x:f>EXP(LN('SOFR Inputs'!D32)+((B32-B29)/(B34-B29))*(LN('SOFR Inputs'!D33)-LN('SOFR Inputs'!D32)))</x:f>
        <x:v>0.2531962706425862</x:v>
      </x:c>
      <x:c r="E32" s="67" t="n">
        <x:f>MAX(0,MIN(B32,'SOFR Inputs'!$J$7)-'SOFR Inputs'!$J$5)</x:f>
        <x:v>164</x:v>
      </x:c>
      <x:c r="F32" s="67" t="n">
        <x:f>MAX(0,MIN(B32,'SOFR Inputs'!$J$8)-'SOFR Inputs'!$J$7)</x:f>
        <x:v>1827</x:v>
      </x:c>
      <x:c r="G32" s="67" t="n">
        <x:f>MAX(0,B32-'SOFR Inputs'!$J$8)</x:f>
        <x:v>8243</x:v>
      </x:c>
      <x:c r="H32" s="66" t="n">
        <x:f>E32/365*'SOFR Inputs'!$J$10+F32/365*'SOFR Inputs'!$J$11+G32/365*'SOFR Inputs'!$J$12</x:f>
        <x:v>0.4320421917808219</x:v>
      </x:c>
      <x:c r="I32" s="38" t="n">
        <x:f>D32*EXP(-H32)</x:f>
        <x:v>0.16437045781424378</x:v>
      </x:c>
      <x:c r="J32" s="66" t="n">
        <x:f>C32*D32</x:f>
        <x:v>0.2581195314606365</x:v>
      </x:c>
      <x:c r="K32" s="66" t="n">
        <x:f>C32*I32</x:f>
        <x:v>0.16756655004952073</x:v>
      </x:c>
      <x:c r="L32" s="66" t="n">
        <x:f>SUM($J$5:J32)</x:f>
        <x:v>15.071276885173162</x:v>
      </x:c>
      <x:c r="M32" s="66" t="n">
        <x:f>SUM($K$5:K32)</x:f>
        <x:v>12.694738849631584</x:v>
      </x:c>
      <x:c r="N32" s="88" t="n">
        <x:f>('SOFR Inputs'!$J$13-D32)/L32*100</x:f>
        <x:v>4.9537083259911086</x:v>
      </x:c>
      <x:c r="O32" s="88" t="n">
        <x:f>('SOFR Inputs'!$J$14-I32)/M32*100</x:f>
        <x:v>6.580258450429584</x:v>
      </x:c>
    </x:row>
    <x:row r="33">
      <x:c r="A33" t="n">
        <x:v>29</x:v>
      </x:c>
      <x:c r="B33" s="41" t="n">
        <x:v>56899</x:v>
      </x:c>
      <x:c r="C33" s="66" t="n">
        <x:f>(B33-B32)/360</x:f>
        <x:v>1.0138888888888888</x:v>
      </x:c>
      <x:c r="D33" s="38" t="n">
        <x:f>EXP(LN('SOFR Inputs'!D32)+((B33-B29)/(B34-B29))*(LN('SOFR Inputs'!D33)-LN('SOFR Inputs'!D32)))</x:f>
        <x:v>0.24242781971425112</x:v>
      </x:c>
      <x:c r="E33" s="67" t="n">
        <x:f>MAX(0,MIN(B33,'SOFR Inputs'!$J$7)-'SOFR Inputs'!$J$5)</x:f>
        <x:v>164</x:v>
      </x:c>
      <x:c r="F33" s="67" t="n">
        <x:f>MAX(0,MIN(B33,'SOFR Inputs'!$J$8)-'SOFR Inputs'!$J$7)</x:f>
        <x:v>1827</x:v>
      </x:c>
      <x:c r="G33" s="67" t="n">
        <x:f>MAX(0,B33-'SOFR Inputs'!$J$8)</x:f>
        <x:v>8608</x:v>
      </x:c>
      <x:c r="H33" s="66" t="n">
        <x:f>E33/365*'SOFR Inputs'!$J$10+F33/365*'SOFR Inputs'!$J$11+G33/365*'SOFR Inputs'!$J$12</x:f>
        <x:v>0.44714219178082193</x:v>
      </x:c>
      <x:c r="I33" s="38" t="n">
        <x:f>D33*EXP(-H33)</x:f>
        <x:v>0.15502119098815678</x:v>
      </x:c>
      <x:c r="J33" s="66" t="n">
        <x:f>C33*D33</x:f>
        <x:v>0.24579487276583792</x:v>
      </x:c>
      <x:c r="K33" s="66" t="n">
        <x:f>C33*I33</x:f>
        <x:v>0.1571742630852145</x:v>
      </x:c>
      <x:c r="L33" s="66" t="n">
        <x:f>SUM($J$5:J33)</x:f>
        <x:v>15.317071757939</x:v>
      </x:c>
      <x:c r="M33" s="66" t="n">
        <x:f>SUM($K$5:K33)</x:f>
        <x:v>12.8519131127168</x:v>
      </x:c>
      <x:c r="N33" s="88" t="n">
        <x:f>('SOFR Inputs'!$J$13-D33)/L33*100</x:f>
        <x:v>4.9445191665292425</x:v>
      </x:c>
      <x:c r="O33" s="88" t="n">
        <x:f>('SOFR Inputs'!$J$14-I33)/M33*100</x:f>
        <x:v>6.57253037217565</x:v>
      </x:c>
    </x:row>
    <x:row r="34">
      <x:c r="A34" t="n">
        <x:v>30</x:v>
      </x:c>
      <x:c r="B34" s="60" t="n">
        <x:v>57264</x:v>
      </x:c>
      <x:c r="C34" s="66" t="n">
        <x:f>(B34-B33)/360</x:f>
        <x:v>1.0138888888888888</x:v>
      </x:c>
      <x:c r="D34" s="38" t="n">
        <x:f>'SOFR Inputs'!D33</x:f>
        <x:v>0.232117351579666</x:v>
      </x:c>
      <x:c r="E34" s="67" t="n">
        <x:f>MAX(0,MIN(B34,'SOFR Inputs'!$J$7)-'SOFR Inputs'!$J$5)</x:f>
        <x:v>164</x:v>
      </x:c>
      <x:c r="F34" s="67" t="n">
        <x:f>MAX(0,MIN(B34,'SOFR Inputs'!$J$8)-'SOFR Inputs'!$J$7)</x:f>
        <x:v>1827</x:v>
      </x:c>
      <x:c r="G34" s="67" t="n">
        <x:f>MAX(0,B34-'SOFR Inputs'!$J$8)</x:f>
        <x:v>8973</x:v>
      </x:c>
      <x:c r="H34" s="66" t="n">
        <x:f>E34/365*'SOFR Inputs'!$J$10+F34/365*'SOFR Inputs'!$J$11+G34/365*'SOFR Inputs'!$J$12</x:f>
        <x:v>0.46224219178082193</x:v>
      </x:c>
      <x:c r="I34" s="38" t="n">
        <x:f>D34*EXP(-H34)</x:f>
        <x:v>0.14620370335979008</x:v>
      </x:c>
      <x:c r="J34" s="66" t="n">
        <x:f>C34*D34</x:f>
        <x:v>0.23534120368493913</x:v>
      </x:c>
      <x:c r="K34" s="66" t="n">
        <x:f>C34*I34</x:f>
        <x:v>0.14823431035089826</x:v>
      </x:c>
      <x:c r="L34" s="66" t="n">
        <x:f>SUM($J$5:J34)</x:f>
        <x:v>15.55241296162394</x:v>
      </x:c>
      <x:c r="M34" s="66" t="n">
        <x:f>SUM($K$5:K34)</x:f>
        <x:v>13.000147423067697</x:v>
      </x:c>
      <x:c r="N34" s="88" t="n">
        <x:f>('SOFR Inputs'!$J$13-D34)/L34*100</x:f>
        <x:v>4.935993011831387</x:v>
      </x:c>
      <x:c r="O34" s="88" t="n">
        <x:f>('SOFR Inputs'!$J$14-I34)/M34*100</x:f>
        <x:v>6.565413087953248</x:v>
      </x:c>
    </x:row>
    <x:row r="35">
      <x:c r="A35" t="n">
        <x:v>31</x:v>
      </x:c>
      <x:c r="B35" s="41" t="n">
        <x:v>57630</x:v>
      </x:c>
      <x:c r="C35" s="66" t="n">
        <x:f>(B35-B34)/360</x:f>
        <x:v>1.0166666666666666</x:v>
      </x:c>
      <x:c r="D35" s="38" t="n">
        <x:f>EXP(LN('SOFR Inputs'!D33)+((B35-B34)/(B44-B34))*(LN('SOFR Inputs'!D34)-LN('SOFR Inputs'!D33)))</x:f>
        <x:v>0.22359531977160976</x:v>
      </x:c>
      <x:c r="E35" s="67" t="n">
        <x:f>MAX(0,MIN(B35,'SOFR Inputs'!$J$7)-'SOFR Inputs'!$J$5)</x:f>
        <x:v>164</x:v>
      </x:c>
      <x:c r="F35" s="67" t="n">
        <x:f>MAX(0,MIN(B35,'SOFR Inputs'!$J$8)-'SOFR Inputs'!$J$7)</x:f>
        <x:v>1827</x:v>
      </x:c>
      <x:c r="G35" s="67" t="n">
        <x:f>MAX(0,B35-'SOFR Inputs'!$J$8)</x:f>
        <x:v>9339</x:v>
      </x:c>
      <x:c r="H35" s="66" t="n">
        <x:f>E35/365*'SOFR Inputs'!$J$10+F35/365*'SOFR Inputs'!$J$11+G35/365*'SOFR Inputs'!$J$12</x:f>
        <x:v>0.4773835616438356</x:v>
      </x:c>
      <x:c r="I35" s="38" t="n">
        <x:f>D35*EXP(-H35)</x:f>
        <x:v>0.13871954709822729</x:v>
      </x:c>
      <x:c r="J35" s="66" t="n">
        <x:f>C35*D35</x:f>
        <x:v>0.22732190843446992</x:v>
      </x:c>
      <x:c r="K35" s="66" t="n">
        <x:f>C35*I35</x:f>
        <x:v>0.1410315395498644</x:v>
      </x:c>
      <x:c r="L35" s="66" t="n">
        <x:f>SUM($J$5:J35)</x:f>
        <x:v>15.77973487005841</x:v>
      </x:c>
      <x:c r="M35" s="66" t="n">
        <x:f>SUM($K$5:K35)</x:f>
        <x:v>13.14117896261756</x:v>
      </x:c>
      <x:c r="N35" s="88" t="n">
        <x:f>('SOFR Inputs'!$J$13-D35)/L35*100</x:f>
        <x:v>4.918891572999538</x:v>
      </x:c>
      <x:c r="O35" s="88" t="n">
        <x:f>('SOFR Inputs'!$J$14-I35)/M35*100</x:f>
        <x:v>6.551904810657613</x:v>
      </x:c>
    </x:row>
    <x:row r="36">
      <x:c r="A36" t="n">
        <x:v>32</x:v>
      </x:c>
      <x:c r="B36" s="41" t="n">
        <x:v>57994</x:v>
      </x:c>
      <x:c r="C36" s="66" t="n">
        <x:f>(B36-B35)/360</x:f>
        <x:v>1.011111111111111</x:v>
      </x:c>
      <x:c r="D36" s="38" t="n">
        <x:f>EXP(LN('SOFR Inputs'!D33)+((B36-B34)/(B44-B34))*(LN('SOFR Inputs'!D34)-LN('SOFR Inputs'!D33)))</x:f>
        <x:v>0.21543019810907713</x:v>
      </x:c>
      <x:c r="E36" s="67" t="n">
        <x:f>MAX(0,MIN(B36,'SOFR Inputs'!$J$7)-'SOFR Inputs'!$J$5)</x:f>
        <x:v>164</x:v>
      </x:c>
      <x:c r="F36" s="67" t="n">
        <x:f>MAX(0,MIN(B36,'SOFR Inputs'!$J$8)-'SOFR Inputs'!$J$7)</x:f>
        <x:v>1827</x:v>
      </x:c>
      <x:c r="G36" s="67" t="n">
        <x:f>MAX(0,B36-'SOFR Inputs'!$J$8)</x:f>
        <x:v>9703</x:v>
      </x:c>
      <x:c r="H36" s="66" t="n">
        <x:f>E36/365*'SOFR Inputs'!$J$10+F36/365*'SOFR Inputs'!$J$11+G36/365*'SOFR Inputs'!$J$12</x:f>
        <x:v>0.49244219178082194</x:v>
      </x:c>
      <x:c r="I36" s="38" t="n">
        <x:f>D36*EXP(-H36)</x:f>
        <x:v>0.13165630258722583</x:v>
      </x:c>
      <x:c r="J36" s="66" t="n">
        <x:f>C36*D36</x:f>
        <x:v>0.21782386697695574</x:v>
      </x:c>
      <x:c r="K36" s="66" t="n">
        <x:f>C36*I36</x:f>
        <x:v>0.13311915039375055</x:v>
      </x:c>
      <x:c r="L36" s="66" t="n">
        <x:f>SUM($J$5:J36)</x:f>
        <x:v>15.997558737035366</x:v>
      </x:c>
      <x:c r="M36" s="66" t="n">
        <x:f>SUM($K$5:K36)</x:f>
        <x:v>13.274298113011312</x:v>
      </x:c>
      <x:c r="N36" s="88" t="n">
        <x:f>('SOFR Inputs'!$J$13-D36)/L36*100</x:f>
        <x:v>4.902955402887054</x:v>
      </x:c>
      <x:c r="O36" s="88" t="n">
        <x:f>('SOFR Inputs'!$J$14-I36)/M36*100</x:f>
        <x:v>6.539410021905449</x:v>
      </x:c>
    </x:row>
    <x:row r="37">
      <x:c r="A37" t="n">
        <x:v>33</x:v>
      </x:c>
      <x:c r="B37" s="41" t="n">
        <x:v>58358</x:v>
      </x:c>
      <x:c r="C37" s="66" t="n">
        <x:f>(B37-B36)/360</x:f>
        <x:v>1.011111111111111</x:v>
      </x:c>
      <x:c r="D37" s="38" t="n">
        <x:f>EXP(LN('SOFR Inputs'!D33)+((B37-B34)/(B44-B34))*(LN('SOFR Inputs'!D34)-LN('SOFR Inputs'!D33)))</x:f>
        <x:v>0.2075632455309066</x:v>
      </x:c>
      <x:c r="E37" s="67" t="n">
        <x:f>MAX(0,MIN(B37,'SOFR Inputs'!$J$7)-'SOFR Inputs'!$J$5)</x:f>
        <x:v>164</x:v>
      </x:c>
      <x:c r="F37" s="67" t="n">
        <x:f>MAX(0,MIN(B37,'SOFR Inputs'!$J$8)-'SOFR Inputs'!$J$7)</x:f>
        <x:v>1827</x:v>
      </x:c>
      <x:c r="G37" s="67" t="n">
        <x:f>MAX(0,B37-'SOFR Inputs'!$J$8)</x:f>
        <x:v>10067</x:v>
      </x:c>
      <x:c r="H37" s="66" t="n">
        <x:f>E37/365*'SOFR Inputs'!$J$10+F37/365*'SOFR Inputs'!$J$11+G37/365*'SOFR Inputs'!$J$12</x:f>
        <x:v>0.5075008219178082</x:v>
      </x:c>
      <x:c r="I37" s="38" t="n">
        <x:f>D37*EXP(-H37)</x:f>
        <x:v>0.12495270041982907</x:v>
      </x:c>
      <x:c r="J37" s="66" t="n">
        <x:f>C37*D37</x:f>
        <x:v>0.20986950381458333</x:v>
      </x:c>
      <x:c r="K37" s="66" t="n">
        <x:f>C37*I37</x:f>
        <x:v>0.12634106375782717</x:v>
      </x:c>
      <x:c r="L37" s="66" t="n">
        <x:f>SUM($J$5:J37)</x:f>
        <x:v>16.20742824084995</x:v>
      </x:c>
      <x:c r="M37" s="66" t="n">
        <x:f>SUM($K$5:K37)</x:f>
        <x:v>13.40063917676914</x:v>
      </x:c>
      <x:c r="N37" s="88" t="n">
        <x:f>('SOFR Inputs'!$J$13-D37)/L37*100</x:f>
        <x:v>4.888006358769048</x:v>
      </x:c>
      <x:c r="O37" s="88" t="n">
        <x:f>('SOFR Inputs'!$J$14-I37)/M37*100</x:f>
        <x:v>6.527781039159118</x:v>
      </x:c>
    </x:row>
    <x:row r="38">
      <x:c r="A38" t="n">
        <x:v>34</x:v>
      </x:c>
      <x:c r="B38" s="41" t="n">
        <x:v>58726</x:v>
      </x:c>
      <x:c r="C38" s="66" t="n">
        <x:f>(B38-B37)/360</x:f>
        <x:v>1.0222222222222221</x:v>
      </x:c>
      <x:c r="D38" s="38" t="n">
        <x:f>EXP(LN('SOFR Inputs'!D33)+((B38-B34)/(B44-B34))*(LN('SOFR Inputs'!D34)-LN('SOFR Inputs'!D33)))</x:f>
        <x:v>0.19990183696744807</x:v>
      </x:c>
      <x:c r="E38" s="67" t="n">
        <x:f>MAX(0,MIN(B38,'SOFR Inputs'!$J$7)-'SOFR Inputs'!$J$5)</x:f>
        <x:v>164</x:v>
      </x:c>
      <x:c r="F38" s="67" t="n">
        <x:f>MAX(0,MIN(B38,'SOFR Inputs'!$J$8)-'SOFR Inputs'!$J$7)</x:f>
        <x:v>1827</x:v>
      </x:c>
      <x:c r="G38" s="67" t="n">
        <x:f>MAX(0,B38-'SOFR Inputs'!$J$8)</x:f>
        <x:v>10435</x:v>
      </x:c>
      <x:c r="H38" s="66" t="n">
        <x:f>E38/365*'SOFR Inputs'!$J$10+F38/365*'SOFR Inputs'!$J$11+G38/365*'SOFR Inputs'!$J$12</x:f>
        <x:v>0.5227249315068493</x:v>
      </x:c>
      <x:c r="I38" s="38" t="n">
        <x:f>D38*EXP(-H38)</x:f>
        <x:v>0.11852234395575054</x:v>
      </x:c>
      <x:c r="J38" s="66" t="n">
        <x:f>C38*D38</x:f>
        <x:v>0.20434410001116912</x:v>
      </x:c>
      <x:c r="K38" s="66" t="n">
        <x:f>C38*I38</x:f>
        <x:v>0.12115617382143387</x:v>
      </x:c>
      <x:c r="L38" s="66" t="n">
        <x:f>SUM($J$5:J38)</x:f>
        <x:v>16.41177234086112</x:v>
      </x:c>
      <x:c r="M38" s="66" t="n">
        <x:f>SUM($K$5:K38)</x:f>
        <x:v>13.521795350590574</x:v>
      </x:c>
      <x:c r="N38" s="88" t="n">
        <x:f>('SOFR Inputs'!$J$13-D38)/L38*100</x:f>
        <x:v>4.873827853300365</x:v>
      </x:c>
      <x:c r="O38" s="88" t="n">
        <x:f>('SOFR Inputs'!$J$14-I38)/M38*100</x:f>
        <x:v>6.5168471857759345</x:v>
      </x:c>
    </x:row>
    <x:row r="39">
      <x:c r="A39" t="n">
        <x:v>35</x:v>
      </x:c>
      <x:c r="B39" s="41" t="n">
        <x:v>59091</x:v>
      </x:c>
      <x:c r="C39" s="66" t="n">
        <x:f>(B39-B38)/360</x:f>
        <x:v>1.0138888888888888</x:v>
      </x:c>
      <x:c r="D39" s="38" t="n">
        <x:f>EXP(LN('SOFR Inputs'!D33)+((B39-B34)/(B44-B34))*(LN('SOFR Inputs'!D34)-LN('SOFR Inputs'!D33)))</x:f>
        <x:v>0.19258225695474562</x:v>
      </x:c>
      <x:c r="E39" s="67" t="n">
        <x:f>MAX(0,MIN(B39,'SOFR Inputs'!$J$7)-'SOFR Inputs'!$J$5)</x:f>
        <x:v>164</x:v>
      </x:c>
      <x:c r="F39" s="67" t="n">
        <x:f>MAX(0,MIN(B39,'SOFR Inputs'!$J$8)-'SOFR Inputs'!$J$7)</x:f>
        <x:v>1827</x:v>
      </x:c>
      <x:c r="G39" s="67" t="n">
        <x:f>MAX(0,B39-'SOFR Inputs'!$J$8)</x:f>
        <x:v>10800</x:v>
      </x:c>
      <x:c r="H39" s="66" t="n">
        <x:f>E39/365*'SOFR Inputs'!$J$10+F39/365*'SOFR Inputs'!$J$11+G39/365*'SOFR Inputs'!$J$12</x:f>
        <x:v>0.5378249315068493</x:v>
      </x:c>
      <x:c r="I39" s="38" t="n">
        <x:f>D39*EXP(-H39)</x:f>
        <x:v>0.11247134069430481</x:v>
      </x:c>
      <x:c r="J39" s="66" t="n">
        <x:f>C39*D39</x:f>
        <x:v>0.19525701052356154</x:v>
      </x:c>
      <x:c r="K39" s="66" t="n">
        <x:f>C39*I39</x:f>
        <x:v>0.11403344264839237</x:v>
      </x:c>
      <x:c r="L39" s="66" t="n">
        <x:f>SUM($J$5:J39)</x:f>
        <x:v>16.607029351384682</x:v>
      </x:c>
      <x:c r="M39" s="66" t="n">
        <x:f>SUM($K$5:K39)</x:f>
        <x:v>13.635828793238966</x:v>
      </x:c>
      <x:c r="N39" s="88" t="n">
        <x:f>('SOFR Inputs'!$J$13-D39)/L39*100</x:f>
        <x:v>4.860599054186251</x:v>
      </x:c>
      <x:c r="O39" s="88" t="n">
        <x:f>('SOFR Inputs'!$J$14-I39)/M39*100</x:f>
        <x:v>6.50672398785698</x:v>
      </x:c>
    </x:row>
    <x:row r="40">
      <x:c r="A40" t="n">
        <x:v>36</x:v>
      </x:c>
      <x:c r="B40" s="41" t="n">
        <x:v>59456</x:v>
      </x:c>
      <x:c r="C40" s="66" t="n">
        <x:f>(B40-B39)/360</x:f>
        <x:v>1.0138888888888888</x:v>
      </x:c>
      <x:c r="D40" s="38" t="n">
        <x:f>EXP(LN('SOFR Inputs'!D33)+((B40-B34)/(B44-B34))*(LN('SOFR Inputs'!D34)-LN('SOFR Inputs'!D33)))</x:f>
        <x:v>0.18553068974460224</x:v>
      </x:c>
      <x:c r="E40" s="67" t="n">
        <x:f>MAX(0,MIN(B40,'SOFR Inputs'!$J$7)-'SOFR Inputs'!$J$5)</x:f>
        <x:v>164</x:v>
      </x:c>
      <x:c r="F40" s="67" t="n">
        <x:f>MAX(0,MIN(B40,'SOFR Inputs'!$J$8)-'SOFR Inputs'!$J$7)</x:f>
        <x:v>1827</x:v>
      </x:c>
      <x:c r="G40" s="67" t="n">
        <x:f>MAX(0,B40-'SOFR Inputs'!$J$8)</x:f>
        <x:v>11165</x:v>
      </x:c>
      <x:c r="H40" s="66" t="n">
        <x:f>E40/365*'SOFR Inputs'!$J$10+F40/365*'SOFR Inputs'!$J$11+G40/365*'SOFR Inputs'!$J$12</x:f>
        <x:v>0.5529249315068493</x:v>
      </x:c>
      <x:c r="I40" s="38" t="n">
        <x:f>D40*EXP(-H40)</x:f>
        <x:v>0.10672926349057944</x:v>
      </x:c>
      <x:c r="J40" s="66" t="n">
        <x:f>C40*D40</x:f>
        <x:v>0.18810750487994393</x:v>
      </x:c>
      <x:c r="K40" s="66" t="n">
        <x:f>C40*I40</x:f>
        <x:v>0.10821161437239304</x:v>
      </x:c>
      <x:c r="L40" s="66" t="n">
        <x:f>SUM($J$5:J40)</x:f>
        <x:v>16.795136856264627</x:v>
      </x:c>
      <x:c r="M40" s="66" t="n">
        <x:f>SUM($K$5:K40)</x:f>
        <x:v>13.74404040761136</x:v>
      </x:c>
      <x:c r="N40" s="88" t="n">
        <x:f>('SOFR Inputs'!$J$13-D40)/L40*100</x:f>
        <x:v>4.84814554213211</x:v>
      </x:c>
      <x:c r="O40" s="88" t="n">
        <x:f>('SOFR Inputs'!$J$14-I40)/M40*100</x:f>
        <x:v>6.497272954334325</x:v>
      </x:c>
    </x:row>
    <x:row r="41">
      <x:c r="A41" t="n">
        <x:v>37</x:v>
      </x:c>
      <x:c r="B41" s="41" t="n">
        <x:v>59821</x:v>
      </x:c>
      <x:c r="C41" s="66" t="n">
        <x:f>(B41-B40)/360</x:f>
        <x:v>1.0138888888888888</x:v>
      </x:c>
      <x:c r="D41" s="38" t="n">
        <x:f>EXP(LN('SOFR Inputs'!D33)+((B41-B34)/(B44-B34))*(LN('SOFR Inputs'!D34)-LN('SOFR Inputs'!D33)))</x:f>
        <x:v>0.17873732181462856</x:v>
      </x:c>
      <x:c r="E41" s="67" t="n">
        <x:f>MAX(0,MIN(B41,'SOFR Inputs'!$J$7)-'SOFR Inputs'!$J$5)</x:f>
        <x:v>164</x:v>
      </x:c>
      <x:c r="F41" s="67" t="n">
        <x:f>MAX(0,MIN(B41,'SOFR Inputs'!$J$8)-'SOFR Inputs'!$J$7)</x:f>
        <x:v>1827</x:v>
      </x:c>
      <x:c r="G41" s="67" t="n">
        <x:f>MAX(0,B41-'SOFR Inputs'!$J$8)</x:f>
        <x:v>11530</x:v>
      </x:c>
      <x:c r="H41" s="66" t="n">
        <x:f>E41/365*'SOFR Inputs'!$J$10+F41/365*'SOFR Inputs'!$J$11+G41/365*'SOFR Inputs'!$J$12</x:f>
        <x:v>0.5680249315068493</x:v>
      </x:c>
      <x:c r="I41" s="38" t="n">
        <x:f>D41*EXP(-H41)</x:f>
        <x:v>0.10128034052872587</x:v>
      </x:c>
      <x:c r="J41" s="66" t="n">
        <x:f>C41*D41</x:f>
        <x:v>0.18121978461760951</x:v>
      </x:c>
      <x:c r="K41" s="66" t="n">
        <x:f>C41*I41</x:f>
        <x:v>0.10268701192495816</x:v>
      </x:c>
      <x:c r="L41" s="66" t="n">
        <x:f>SUM($J$5:J41)</x:f>
        <x:v>16.976356640882237</x:v>
      </x:c>
      <x:c r="M41" s="66" t="n">
        <x:f>SUM($K$5:K41)</x:f>
        <x:v>13.846727419536318</x:v>
      </x:c>
      <x:c r="N41" s="88" t="n">
        <x:f>('SOFR Inputs'!$J$13-D41)/L41*100</x:f>
        <x:v>4.836409036935062</x:v>
      </x:c>
      <x:c r="O41" s="88" t="n">
        <x:f>('SOFR Inputs'!$J$14-I41)/M41*100</x:f>
        <x:v>6.488441029977704</x:v>
      </x:c>
    </x:row>
    <x:row r="42">
      <x:c r="A42" t="n">
        <x:v>38</x:v>
      </x:c>
      <x:c r="B42" s="41" t="n">
        <x:v>60185</x:v>
      </x:c>
      <x:c r="C42" s="66" t="n">
        <x:f>(B42-B41)/360</x:f>
        <x:v>1.011111111111111</x:v>
      </x:c>
      <x:c r="D42" s="38" t="n">
        <x:f>EXP(LN('SOFR Inputs'!D33)+((B42-B34)/(B44-B34))*(LN('SOFR Inputs'!D34)-LN('SOFR Inputs'!D33)))</x:f>
        <x:v>0.17221029799435184</x:v>
      </x:c>
      <x:c r="E42" s="67" t="n">
        <x:f>MAX(0,MIN(B42,'SOFR Inputs'!$J$7)-'SOFR Inputs'!$J$5)</x:f>
        <x:v>164</x:v>
      </x:c>
      <x:c r="F42" s="67" t="n">
        <x:f>MAX(0,MIN(B42,'SOFR Inputs'!$J$8)-'SOFR Inputs'!$J$7)</x:f>
        <x:v>1827</x:v>
      </x:c>
      <x:c r="G42" s="67" t="n">
        <x:f>MAX(0,B42-'SOFR Inputs'!$J$8)</x:f>
        <x:v>11894</x:v>
      </x:c>
      <x:c r="H42" s="66" t="n">
        <x:f>E42/365*'SOFR Inputs'!$J$10+F42/365*'SOFR Inputs'!$J$11+G42/365*'SOFR Inputs'!$J$12</x:f>
        <x:v>0.5830835616438357</x:v>
      </x:c>
      <x:c r="I42" s="38" t="n">
        <x:f>D42*EXP(-H42)</x:f>
        <x:v>0.09612340465143863</x:v>
      </x:c>
      <x:c r="J42" s="66" t="n">
        <x:f>C42*D42</x:f>
        <x:v>0.17412374574984463</x:v>
      </x:c>
      <x:c r="K42" s="66" t="n">
        <x:f>C42*I42</x:f>
        <x:v>0.09719144248089906</x:v>
      </x:c>
      <x:c r="L42" s="66" t="n">
        <x:f>SUM($J$5:J42)</x:f>
        <x:v>17.150480386632083</x:v>
      </x:c>
      <x:c r="M42" s="66" t="n">
        <x:f>SUM($K$5:K42)</x:f>
        <x:v>13.943918862017217</x:v>
      </x:c>
      <x:c r="N42" s="88" t="n">
        <x:f>('SOFR Inputs'!$J$13-D42)/L42*100</x:f>
        <x:v>4.8253637909016325</x:v>
      </x:c>
      <x:c r="O42" s="88" t="n">
        <x:f>('SOFR Inputs'!$J$14-I42)/M42*100</x:f>
        <x:v>6.480198916941597</x:v>
      </x:c>
    </x:row>
    <x:row r="43">
      <x:c r="A43" t="n">
        <x:v>39</x:v>
      </x:c>
      <x:c r="B43" s="41" t="n">
        <x:v>60552</x:v>
      </x:c>
      <x:c r="C43" s="66" t="n">
        <x:f>(B43-B42)/360</x:f>
        <x:v>1.0194444444444444</x:v>
      </x:c>
      <x:c r="D43" s="38" t="n">
        <x:f>EXP(LN('SOFR Inputs'!D33)+((B43-B34)/(B44-B34))*(LN('SOFR Inputs'!D34)-LN('SOFR Inputs'!D33)))</x:f>
        <x:v>0.1658707603167496</x:v>
      </x:c>
      <x:c r="E43" s="67" t="n">
        <x:f>MAX(0,MIN(B43,'SOFR Inputs'!$J$7)-'SOFR Inputs'!$J$5)</x:f>
        <x:v>164</x:v>
      </x:c>
      <x:c r="F43" s="67" t="n">
        <x:f>MAX(0,MIN(B43,'SOFR Inputs'!$J$8)-'SOFR Inputs'!$J$7)</x:f>
        <x:v>1827</x:v>
      </x:c>
      <x:c r="G43" s="67" t="n">
        <x:f>MAX(0,B43-'SOFR Inputs'!$J$8)</x:f>
        <x:v>12261</x:v>
      </x:c>
      <x:c r="H43" s="66" t="n">
        <x:f>E43/365*'SOFR Inputs'!$J$10+F43/365*'SOFR Inputs'!$J$11+G43/365*'SOFR Inputs'!$J$12</x:f>
        <x:v>0.598266301369863</x:v>
      </x:c>
      <x:c r="I43" s="38" t="n">
        <x:f>D43*EXP(-H43)</x:f>
        <x:v>0.09118976194910053</x:v>
      </x:c>
      <x:c r="J43" s="66" t="n">
        <x:f>C43*D43</x:f>
        <x:v>0.1690960251006864</x:v>
      </x:c>
      <x:c r="K43" s="66" t="n">
        <x:f>C43*I43</x:f>
        <x:v>0.09296289620922192</x:v>
      </x:c>
      <x:c r="L43" s="66" t="n">
        <x:f>SUM($J$5:J43)</x:f>
        <x:v>17.31957641173277</x:v>
      </x:c>
      <x:c r="M43" s="66" t="n">
        <x:f>SUM($K$5:K43)</x:f>
        <x:v>14.03688175822644</x:v>
      </x:c>
      <x:c r="N43" s="88" t="n">
        <x:f>('SOFR Inputs'!$J$13-D43)/L43*100</x:f>
        <x:v>4.814855677734227</x:v>
      </x:c>
      <x:c r="O43" s="88" t="n">
        <x:f>('SOFR Inputs'!$J$14-I43)/M43*100</x:f>
        <x:v>6.472429827554417</x:v>
      </x:c>
    </x:row>
    <x:row r="44">
      <x:c r="A44" t="n">
        <x:v>40</x:v>
      </x:c>
      <x:c r="B44" s="60" t="n">
        <x:v>60916</x:v>
      </x:c>
      <x:c r="C44" s="66" t="n">
        <x:f>(B44-B43)/360</x:f>
        <x:v>1.011111111111111</x:v>
      </x:c>
      <x:c r="D44" s="38" t="n">
        <x:f>'SOFR Inputs'!D34</x:f>
        <x:v>0.159813589980508</x:v>
      </x:c>
      <x:c r="E44" s="67" t="n">
        <x:f>MAX(0,MIN(B44,'SOFR Inputs'!$J$7)-'SOFR Inputs'!$J$5)</x:f>
        <x:v>164</x:v>
      </x:c>
      <x:c r="F44" s="67" t="n">
        <x:f>MAX(0,MIN(B44,'SOFR Inputs'!$J$8)-'SOFR Inputs'!$J$7)</x:f>
        <x:v>1827</x:v>
      </x:c>
      <x:c r="G44" s="67" t="n">
        <x:f>MAX(0,B44-'SOFR Inputs'!$J$8)</x:f>
        <x:v>12625</x:v>
      </x:c>
      <x:c r="H44" s="66" t="n">
        <x:f>E44/365*'SOFR Inputs'!$J$10+F44/365*'SOFR Inputs'!$J$11+G44/365*'SOFR Inputs'!$J$12</x:f>
        <x:v>0.6133249315068493</x:v>
      </x:c>
      <x:c r="I44" s="38" t="n">
        <x:f>D44*EXP(-H44)</x:f>
        <x:v>0.0865466125226507</x:v>
      </x:c>
      <x:c r="J44" s="66" t="n">
        <x:f>C44*D44</x:f>
        <x:v>0.16158929653584697</x:v>
      </x:c>
      <x:c r="K44" s="66" t="n">
        <x:f>C44*I44</x:f>
        <x:v>0.08750824155068014</x:v>
      </x:c>
      <x:c r="L44" s="66" t="n">
        <x:f>SUM($J$5:J44)</x:f>
        <x:v>17.481165708268616</x:v>
      </x:c>
      <x:c r="M44" s="66" t="n">
        <x:f>SUM($K$5:K44)</x:f>
        <x:v>14.124389999777119</x:v>
      </x:c>
      <x:c r="N44" s="88" t="n">
        <x:f>('SOFR Inputs'!$J$13-D44)/L44*100</x:f>
        <x:v>4.8049986629825705</x:v>
      </x:c>
      <x:c r="O44" s="88" t="n">
        <x:f>('SOFR Inputs'!$J$14-I44)/M44*100</x:f>
        <x:v>6.465202895267352</x:v>
      </x:c>
    </x:row>
    <x:row r="45">
      <x:c r="A45" t="n">
        <x:v>41</x:v>
      </x:c>
      <x:c r="B45" s="41" t="n">
        <x:v>61282</x:v>
      </x:c>
      <x:c r="C45" s="66" t="n">
        <x:f>(B45-B44)/360</x:f>
        <x:v>1.0166666666666666</x:v>
      </x:c>
      <x:c r="D45" s="38" t="n">
        <x:f>EXP(LN('SOFR Inputs'!D34)+((B45-B44)/(B54-B44))*(LN('SOFR Inputs'!D35)-LN('SOFR Inputs'!D34)))</x:f>
        <x:v>0.15527902150317172</x:v>
      </x:c>
      <x:c r="E45" s="67" t="n">
        <x:f>MAX(0,MIN(B45,'SOFR Inputs'!$J$7)-'SOFR Inputs'!$J$5)</x:f>
        <x:v>164</x:v>
      </x:c>
      <x:c r="F45" s="67" t="n">
        <x:f>MAX(0,MIN(B45,'SOFR Inputs'!$J$8)-'SOFR Inputs'!$J$7)</x:f>
        <x:v>1827</x:v>
      </x:c>
      <x:c r="G45" s="67" t="n">
        <x:f>MAX(0,B45-'SOFR Inputs'!$J$8)</x:f>
        <x:v>12991</x:v>
      </x:c>
      <x:c r="H45" s="66" t="n">
        <x:f>E45/365*'SOFR Inputs'!$J$10+F45/365*'SOFR Inputs'!$J$11+G45/365*'SOFR Inputs'!$J$12</x:f>
        <x:v>0.628466301369863</x:v>
      </x:c>
      <x:c r="I45" s="38" t="n">
        <x:f>D45*EXP(-H45)</x:f>
        <x:v>0.08282726842441139</x:v>
      </x:c>
      <x:c r="J45" s="66" t="n">
        <x:f>C45*D45</x:f>
        <x:v>0.15786700519489125</x:v>
      </x:c>
      <x:c r="K45" s="66" t="n">
        <x:f>C45*I45</x:f>
        <x:v>0.08420772289815158</x:v>
      </x:c>
      <x:c r="L45" s="66" t="n">
        <x:f>SUM($J$5:J45)</x:f>
        <x:v>17.639032713463507</x:v>
      </x:c>
      <x:c r="M45" s="66" t="n">
        <x:f>SUM($K$5:K45)</x:f>
        <x:v>14.20859772267527</x:v>
      </x:c>
      <x:c r="N45" s="88" t="n">
        <x:f>('SOFR Inputs'!$J$13-D45)/L45*100</x:f>
        <x:v>4.787702141902703</x:v>
      </x:c>
      <x:c r="O45" s="88" t="n">
        <x:f>('SOFR Inputs'!$J$14-I45)/M45*100</x:f>
        <x:v>6.453063371900751</x:v>
      </x:c>
    </x:row>
    <x:row r="46">
      <x:c r="A46" t="n">
        <x:v>42</x:v>
      </x:c>
      <x:c r="B46" s="41" t="n">
        <x:v>61648</x:v>
      </x:c>
      <x:c r="C46" s="66" t="n">
        <x:f>(B46-B45)/360</x:f>
        <x:v>1.0166666666666666</x:v>
      </x:c>
      <x:c r="D46" s="38" t="n">
        <x:f>EXP(LN('SOFR Inputs'!D34)+((B46-B44)/(B54-B44))*(LN('SOFR Inputs'!D35)-LN('SOFR Inputs'!D34)))</x:f>
        <x:v>0.15087311737333026</x:v>
      </x:c>
      <x:c r="E46" s="67" t="n">
        <x:f>MAX(0,MIN(B46,'SOFR Inputs'!$J$7)-'SOFR Inputs'!$J$5)</x:f>
        <x:v>164</x:v>
      </x:c>
      <x:c r="F46" s="67" t="n">
        <x:f>MAX(0,MIN(B46,'SOFR Inputs'!$J$8)-'SOFR Inputs'!$J$7)</x:f>
        <x:v>1827</x:v>
      </x:c>
      <x:c r="G46" s="67" t="n">
        <x:f>MAX(0,B46-'SOFR Inputs'!$J$8)</x:f>
        <x:v>13357</x:v>
      </x:c>
      <x:c r="H46" s="66" t="n">
        <x:f>E46/365*'SOFR Inputs'!$J$10+F46/365*'SOFR Inputs'!$J$11+G46/365*'SOFR Inputs'!$J$12</x:f>
        <x:v>0.6436076712328768</x:v>
      </x:c>
      <x:c r="I46" s="38" t="n">
        <x:f>D46*EXP(-H46)</x:f>
        <x:v>0.07926776328598681</x:v>
      </x:c>
      <x:c r="J46" s="66" t="n">
        <x:f>C46*D46</x:f>
        <x:v>0.15338766932955242</x:v>
      </x:c>
      <x:c r="K46" s="66" t="n">
        <x:f>C46*I46</x:f>
        <x:v>0.08058889267408659</x:v>
      </x:c>
      <x:c r="L46" s="66" t="n">
        <x:f>SUM($J$5:J46)</x:f>
        <x:v>17.79242038279306</x:v>
      </x:c>
      <x:c r="M46" s="66" t="n">
        <x:f>SUM($K$5:K46)</x:f>
        <x:v>14.289186615349356</x:v>
      </x:c>
      <x:c r="N46" s="88" t="n">
        <x:f>('SOFR Inputs'!$J$13-D46)/L46*100</x:f>
        <x:v>4.7711903883758735</x:v>
      </x:c>
      <x:c r="O46" s="88" t="n">
        <x:f>('SOFR Inputs'!$J$14-I46)/M46*100</x:f>
        <x:v>6.441579532962119</x:v>
      </x:c>
    </x:row>
    <x:row r="47">
      <x:c r="A47" t="n">
        <x:v>43</x:v>
      </x:c>
      <x:c r="B47" s="41" t="n">
        <x:v>62012</x:v>
      </x:c>
      <x:c r="C47" s="66" t="n">
        <x:f>(B47-B46)/360</x:f>
        <x:v>1.011111111111111</x:v>
      </x:c>
      <x:c r="D47" s="38" t="n">
        <x:f>EXP(LN('SOFR Inputs'!D34)+((B47-B44)/(B54-B44))*(LN('SOFR Inputs'!D35)-LN('SOFR Inputs'!D34)))</x:f>
        <x:v>0.14661528645264776</x:v>
      </x:c>
      <x:c r="E47" s="67" t="n">
        <x:f>MAX(0,MIN(B47,'SOFR Inputs'!$J$7)-'SOFR Inputs'!$J$5)</x:f>
        <x:v>164</x:v>
      </x:c>
      <x:c r="F47" s="67" t="n">
        <x:f>MAX(0,MIN(B47,'SOFR Inputs'!$J$8)-'SOFR Inputs'!$J$7)</x:f>
        <x:v>1827</x:v>
      </x:c>
      <x:c r="G47" s="67" t="n">
        <x:f>MAX(0,B47-'SOFR Inputs'!$J$8)</x:f>
        <x:v>13721</x:v>
      </x:c>
      <x:c r="H47" s="66" t="n">
        <x:f>E47/365*'SOFR Inputs'!$J$10+F47/365*'SOFR Inputs'!$J$11+G47/365*'SOFR Inputs'!$J$12</x:f>
        <x:v>0.658666301369863</x:v>
      </x:c>
      <x:c r="I47" s="38" t="n">
        <x:f>D47*EXP(-H47)</x:f>
        <x:v>0.07587943930883362</x:v>
      </x:c>
      <x:c r="J47" s="66" t="n">
        <x:f>C47*D47</x:f>
        <x:v>0.1482443451910105</x:v>
      </x:c>
      <x:c r="K47" s="66" t="n">
        <x:f>C47*I47</x:f>
        <x:v>0.07672254419004287</x:v>
      </x:c>
      <x:c r="L47" s="66" t="n">
        <x:f>SUM($J$5:J47)</x:f>
        <x:v>17.94066472798407</x:v>
      </x:c>
      <x:c r="M47" s="66" t="n">
        <x:f>SUM($K$5:K47)</x:f>
        <x:v>14.365909159539399</x:v>
      </x:c>
      <x:c r="N47" s="88" t="n">
        <x:f>('SOFR Inputs'!$J$13-D47)/L47*100</x:f>
        <x:v>4.7554987232616455</x:v>
      </x:c>
      <x:c r="O47" s="88" t="n">
        <x:f>('SOFR Inputs'!$J$14-I47)/M47*100</x:f>
        <x:v>6.430763512135977</x:v>
      </x:c>
    </x:row>
    <x:row r="48">
      <x:c r="A48" t="n">
        <x:v>44</x:v>
      </x:c>
      <x:c r="B48" s="41" t="n">
        <x:v>62376</x:v>
      </x:c>
      <x:c r="C48" s="66" t="n">
        <x:f>(B48-B47)/360</x:f>
        <x:v>1.011111111111111</x:v>
      </x:c>
      <x:c r="D48" s="38" t="n">
        <x:f>EXP(LN('SOFR Inputs'!D34)+((B48-B44)/(B54-B44))*(LN('SOFR Inputs'!D35)-LN('SOFR Inputs'!D34)))</x:f>
        <x:v>0.14247761692628616</x:v>
      </x:c>
      <x:c r="E48" s="67" t="n">
        <x:f>MAX(0,MIN(B48,'SOFR Inputs'!$J$7)-'SOFR Inputs'!$J$5)</x:f>
        <x:v>164</x:v>
      </x:c>
      <x:c r="F48" s="67" t="n">
        <x:f>MAX(0,MIN(B48,'SOFR Inputs'!$J$8)-'SOFR Inputs'!$J$7)</x:f>
        <x:v>1827</x:v>
      </x:c>
      <x:c r="G48" s="67" t="n">
        <x:f>MAX(0,B48-'SOFR Inputs'!$J$8)</x:f>
        <x:v>14085</x:v>
      </x:c>
      <x:c r="H48" s="66" t="n">
        <x:f>E48/365*'SOFR Inputs'!$J$10+F48/365*'SOFR Inputs'!$J$11+G48/365*'SOFR Inputs'!$J$12</x:f>
        <x:v>0.6737249315068493</x:v>
      </x:c>
      <x:c r="I48" s="38" t="n">
        <x:f>D48*EXP(-H48)</x:f>
        <x:v>0.07263595024184097</x:v>
      </x:c>
      <x:c r="J48" s="66" t="n">
        <x:f>C48*D48</x:f>
        <x:v>0.14406070155880044</x:v>
      </x:c>
      <x:c r="K48" s="66" t="n">
        <x:f>C48*I48</x:f>
        <x:v>0.0734430163556392</x:v>
      </x:c>
      <x:c r="L48" s="66" t="n">
        <x:f>SUM($J$5:J48)</x:f>
        <x:v>18.08472542954287</x:v>
      </x:c>
      <x:c r="M48" s="66" t="n">
        <x:f>SUM($K$5:K48)</x:f>
        <x:v>14.439352175895038</x:v>
      </x:c>
      <x:c r="N48" s="88" t="n">
        <x:f>('SOFR Inputs'!$J$13-D48)/L48*100</x:f>
        <x:v>4.740496365014299</x:v>
      </x:c>
      <x:c r="O48" s="88" t="n">
        <x:f>('SOFR Inputs'!$J$14-I48)/M48*100</x:f>
        <x:v>6.420517501006144</x:v>
      </x:c>
    </x:row>
    <x:row r="49">
      <x:c r="A49" t="n">
        <x:v>45</x:v>
      </x:c>
      <x:c r="B49" s="41" t="n">
        <x:v>62743</x:v>
      </x:c>
      <x:c r="C49" s="66" t="n">
        <x:f>(B49-B48)/360</x:f>
        <x:v>1.0194444444444444</x:v>
      </x:c>
      <x:c r="D49" s="38" t="n">
        <x:f>EXP(LN('SOFR Inputs'!D34)+((B49-B44)/(B54-B44))*(LN('SOFR Inputs'!D35)-LN('SOFR Inputs'!D34)))</x:f>
        <x:v>0.138424054339432</x:v>
      </x:c>
      <x:c r="E49" s="67" t="n">
        <x:f>MAX(0,MIN(B49,'SOFR Inputs'!$J$7)-'SOFR Inputs'!$J$5)</x:f>
        <x:v>164</x:v>
      </x:c>
      <x:c r="F49" s="67" t="n">
        <x:f>MAX(0,MIN(B49,'SOFR Inputs'!$J$8)-'SOFR Inputs'!$J$7)</x:f>
        <x:v>1827</x:v>
      </x:c>
      <x:c r="G49" s="67" t="n">
        <x:f>MAX(0,B49-'SOFR Inputs'!$J$8)</x:f>
        <x:v>14452</x:v>
      </x:c>
      <x:c r="H49" s="66" t="n">
        <x:f>E49/365*'SOFR Inputs'!$J$10+F49/365*'SOFR Inputs'!$J$11+G49/365*'SOFR Inputs'!$J$12</x:f>
        <x:v>0.6889076712328768</x:v>
      </x:c>
      <x:c r="I49" s="38" t="n">
        <x:f>D49*EXP(-H49)</x:f>
        <x:v>0.06950607507344168</x:v>
      </x:c>
      <x:c r="J49" s="66" t="n">
        <x:f>C49*D49</x:f>
        <x:v>0.14111563317380985</x:v>
      </x:c>
      <x:c r="K49" s="66" t="n">
        <x:f>C49*I49</x:f>
        <x:v>0.0708575820887586</x:v>
      </x:c>
      <x:c r="L49" s="66" t="n">
        <x:f>SUM($J$5:J49)</x:f>
        <x:v>18.225841062716682</x:v>
      </x:c>
      <x:c r="M49" s="66" t="n">
        <x:f>SUM($K$5:K49)</x:f>
        <x:v>14.510209757983796</x:v>
      </x:c>
      <x:c r="N49" s="88" t="n">
        <x:f>('SOFR Inputs'!$J$13-D49)/L49*100</x:f>
        <x:v>4.726033280072723</x:v>
      </x:c>
      <x:c r="O49" s="88" t="n">
        <x:f>('SOFR Inputs'!$J$14-I49)/M49*100</x:f>
        <x:v>6.410734401284804</x:v>
      </x:c>
    </x:row>
    <x:row r="50">
      <x:c r="A50" t="n">
        <x:v>46</x:v>
      </x:c>
      <x:c r="B50" s="41" t="n">
        <x:v>63109</x:v>
      </x:c>
      <x:c r="C50" s="66" t="n">
        <x:f>(B50-B49)/360</x:f>
        <x:v>1.0166666666666666</x:v>
      </x:c>
      <x:c r="D50" s="38" t="n">
        <x:f>EXP(LN('SOFR Inputs'!D34)+((B50-B44)/(B54-B44))*(LN('SOFR Inputs'!D35)-LN('SOFR Inputs'!D34)))</x:f>
        <x:v>0.13449639491203774</x:v>
      </x:c>
      <x:c r="E50" s="67" t="n">
        <x:f>MAX(0,MIN(B50,'SOFR Inputs'!$J$7)-'SOFR Inputs'!$J$5)</x:f>
        <x:v>164</x:v>
      </x:c>
      <x:c r="F50" s="67" t="n">
        <x:f>MAX(0,MIN(B50,'SOFR Inputs'!$J$8)-'SOFR Inputs'!$J$7)</x:f>
        <x:v>1827</x:v>
      </x:c>
      <x:c r="G50" s="67" t="n">
        <x:f>MAX(0,B50-'SOFR Inputs'!$J$8)</x:f>
        <x:v>14818</x:v>
      </x:c>
      <x:c r="H50" s="66" t="n">
        <x:f>E50/365*'SOFR Inputs'!$J$10+F50/365*'SOFR Inputs'!$J$11+G50/365*'SOFR Inputs'!$J$12</x:f>
        <x:v>0.7040490410958904</x:v>
      </x:c>
      <x:c r="I50" s="38" t="n">
        <x:f>D50*EXP(-H50)</x:f>
        <x:v>0.0665190487464607</x:v>
      </x:c>
      <x:c r="J50" s="66" t="n">
        <x:f>C50*D50</x:f>
        <x:v>0.13673800149390503</x:v>
      </x:c>
      <x:c r="K50" s="66" t="n">
        <x:f>C50*I50</x:f>
        <x:v>0.0676276995589017</x:v>
      </x:c>
      <x:c r="L50" s="66" t="n">
        <x:f>SUM($J$5:J50)</x:f>
        <x:v>18.36257906421059</x:v>
      </x:c>
      <x:c r="M50" s="66" t="n">
        <x:f>SUM($K$5:K50)</x:f>
        <x:v>14.577837457542698</x:v>
      </x:c>
      <x:c r="N50" s="88" t="n">
        <x:f>('SOFR Inputs'!$J$13-D50)/L50*100</x:f>
        <x:v>4.712230077260902</x:v>
      </x:c>
      <x:c r="O50" s="88" t="n">
        <x:f>('SOFR Inputs'!$J$14-I50)/M50*100</x:f>
        <x:v>6.401484703739705</x:v>
      </x:c>
    </x:row>
    <x:row r="51">
      <x:c r="A51" t="n">
        <x:v>47</x:v>
      </x:c>
      <x:c r="B51" s="41" t="n">
        <x:v>63474</x:v>
      </x:c>
      <x:c r="C51" s="66" t="n">
        <x:f>(B51-B50)/360</x:f>
        <x:v>1.0138888888888888</x:v>
      </x:c>
      <x:c r="D51" s="38" t="n">
        <x:f>EXP(LN('SOFR Inputs'!D34)+((B51-B44)/(B54-B44))*(LN('SOFR Inputs'!D35)-LN('SOFR Inputs'!D34)))</x:f>
        <x:v>0.13069045720518724</x:v>
      </x:c>
      <x:c r="E51" s="67" t="n">
        <x:f>MAX(0,MIN(B51,'SOFR Inputs'!$J$7)-'SOFR Inputs'!$J$5)</x:f>
        <x:v>164</x:v>
      </x:c>
      <x:c r="F51" s="67" t="n">
        <x:f>MAX(0,MIN(B51,'SOFR Inputs'!$J$8)-'SOFR Inputs'!$J$7)</x:f>
        <x:v>1827</x:v>
      </x:c>
      <x:c r="G51" s="67" t="n">
        <x:f>MAX(0,B51-'SOFR Inputs'!$J$8)</x:f>
        <x:v>15183</x:v>
      </x:c>
      <x:c r="H51" s="66" t="n">
        <x:f>E51/365*'SOFR Inputs'!$J$10+F51/365*'SOFR Inputs'!$J$11+G51/365*'SOFR Inputs'!$J$12</x:f>
        <x:v>0.7191490410958904</x:v>
      </x:c>
      <x:c r="I51" s="38" t="n">
        <x:f>D51*EXP(-H51)</x:f>
        <x:v>0.06366803070924239</x:v>
      </x:c>
      <x:c r="J51" s="66" t="n">
        <x:f>C51*D51</x:f>
        <x:v>0.13250560244414816</x:v>
      </x:c>
      <x:c r="K51" s="66" t="n">
        <x:f>C51*I51</x:f>
        <x:v>0.06455230891353742</x:v>
      </x:c>
      <x:c r="L51" s="66" t="n">
        <x:f>SUM($J$5:J51)</x:f>
        <x:v>18.495084666654737</x:v>
      </x:c>
      <x:c r="M51" s="66" t="n">
        <x:f>SUM($K$5:K51)</x:f>
        <x:v>14.642389766456235</x:v>
      </x:c>
      <x:c r="N51" s="88" t="n">
        <x:f>('SOFR Inputs'!$J$13-D51)/L51*100</x:f>
        <x:v>4.699048028140716</x:v>
      </x:c>
      <x:c r="O51" s="88" t="n">
        <x:f>('SOFR Inputs'!$J$14-I51)/M51*100</x:f>
        <x:v>6.392734163942383</x:v>
      </x:c>
    </x:row>
    <x:row r="52">
      <x:c r="A52" t="n">
        <x:v>48</x:v>
      </x:c>
      <x:c r="B52" s="41" t="n">
        <x:v>63839</x:v>
      </x:c>
      <x:c r="C52" s="66" t="n">
        <x:f>(B52-B51)/360</x:f>
        <x:v>1.0138888888888888</x:v>
      </x:c>
      <x:c r="D52" s="38" t="n">
        <x:f>EXP(LN('SOFR Inputs'!D34)+((B52-B44)/(B54-B44))*(LN('SOFR Inputs'!D35)-LN('SOFR Inputs'!D34)))</x:f>
        <x:v>0.12699221875553912</x:v>
      </x:c>
      <x:c r="E52" s="67" t="n">
        <x:f>MAX(0,MIN(B52,'SOFR Inputs'!$J$7)-'SOFR Inputs'!$J$5)</x:f>
        <x:v>164</x:v>
      </x:c>
      <x:c r="F52" s="67" t="n">
        <x:f>MAX(0,MIN(B52,'SOFR Inputs'!$J$8)-'SOFR Inputs'!$J$7)</x:f>
        <x:v>1827</x:v>
      </x:c>
      <x:c r="G52" s="67" t="n">
        <x:f>MAX(0,B52-'SOFR Inputs'!$J$8)</x:f>
        <x:v>15548</x:v>
      </x:c>
      <x:c r="H52" s="66" t="n">
        <x:f>E52/365*'SOFR Inputs'!$J$10+F52/365*'SOFR Inputs'!$J$11+G52/365*'SOFR Inputs'!$J$12</x:f>
        <x:v>0.7342490410958904</x:v>
      </x:c>
      <x:c r="I52" s="38" t="n">
        <x:f>D52*EXP(-H52)</x:f>
        <x:v>0.06093920780261779</x:v>
      </x:c>
      <x:c r="J52" s="66" t="n">
        <x:f>C52*D52</x:f>
        <x:v>0.12875599957158826</x:v>
      </x:c>
      <x:c r="K52" s="66" t="n">
        <x:f>C52*I52</x:f>
        <x:v>0.06178558568876525</x:v>
      </x:c>
      <x:c r="L52" s="66" t="n">
        <x:f>SUM($J$5:J52)</x:f>
        <x:v>18.623840666226325</x:v>
      </x:c>
      <x:c r="M52" s="66" t="n">
        <x:f>SUM($K$5:K52)</x:f>
        <x:v>14.704175352145</x:v>
      </x:c>
      <x:c r="N52" s="88" t="n">
        <x:f>('SOFR Inputs'!$J$13-D52)/L52*100</x:f>
        <x:v>4.686418690017142</x:v>
      </x:c>
      <x:c r="O52" s="88" t="n">
        <x:f>('SOFR Inputs'!$J$14-I52)/M52*100</x:f>
        <x:v>6.38443063580257</x:v>
      </x:c>
    </x:row>
    <x:row r="53">
      <x:c r="A53" t="n">
        <x:v>49</x:v>
      </x:c>
      <x:c r="B53" s="41" t="n">
        <x:v>64203</x:v>
      </x:c>
      <x:c r="C53" s="66" t="n">
        <x:f>(B53-B52)/360</x:f>
        <x:v>1.011111111111111</x:v>
      </x:c>
      <x:c r="D53" s="38" t="n">
        <x:f>EXP(LN('SOFR Inputs'!D34)+((B53-B44)/(B54-B44))*(LN('SOFR Inputs'!D35)-LN('SOFR Inputs'!D34)))</x:f>
        <x:v>0.12340833711302332</x:v>
      </x:c>
      <x:c r="E53" s="67" t="n">
        <x:f>MAX(0,MIN(B53,'SOFR Inputs'!$J$7)-'SOFR Inputs'!$J$5)</x:f>
        <x:v>164</x:v>
      </x:c>
      <x:c r="F53" s="67" t="n">
        <x:f>MAX(0,MIN(B53,'SOFR Inputs'!$J$8)-'SOFR Inputs'!$J$7)</x:f>
        <x:v>1827</x:v>
      </x:c>
      <x:c r="G53" s="67" t="n">
        <x:f>MAX(0,B53-'SOFR Inputs'!$J$8)</x:f>
        <x:v>15912</x:v>
      </x:c>
      <x:c r="H53" s="66" t="n">
        <x:f>E53/365*'SOFR Inputs'!$J$10+F53/365*'SOFR Inputs'!$J$11+G53/365*'SOFR Inputs'!$J$12</x:f>
        <x:v>0.7493076712328768</x:v>
      </x:c>
      <x:c r="I53" s="38" t="n">
        <x:f>D53*EXP(-H53)</x:f>
        <x:v>0.05833434334843389</x:v>
      </x:c>
      <x:c r="J53" s="66" t="n">
        <x:f>C53*D53</x:f>
        <x:v>0.12477954085872357</x:v>
      </x:c>
      <x:c r="K53" s="66" t="n">
        <x:f>C53*I53</x:f>
        <x:v>0.05898250271897204</x:v>
      </x:c>
      <x:c r="L53" s="66" t="n">
        <x:f>SUM($J$5:J53)</x:f>
        <x:v>18.74862020708505</x:v>
      </x:c>
      <x:c r="M53" s="66" t="n">
        <x:f>SUM($K$5:K53)</x:f>
        <x:v>14.763157854863973</x:v>
      </x:c>
      <x:c r="N53" s="88" t="n">
        <x:f>('SOFR Inputs'!$J$13-D53)/L53*100</x:f>
        <x:v>4.674344147695624</x:v>
      </x:c>
      <x:c r="O53" s="88" t="n">
        <x:f>('SOFR Inputs'!$J$14-I53)/M53*100</x:f>
        <x:v>6.376567599109598</x:v>
      </x:c>
    </x:row>
    <x:row r="54">
      <x:c r="A54" t="n">
        <x:v>50</x:v>
      </x:c>
      <x:c r="B54" s="60" t="n">
        <x:v>64567</x:v>
      </x:c>
      <x:c r="C54" s="66" t="n">
        <x:f>(B54-B53)/360</x:f>
        <x:v>1.011111111111111</x:v>
      </x:c>
      <x:c r="D54" s="38" t="n">
        <x:f>'SOFR Inputs'!D35</x:f>
        <x:v>0.119925597160553</x:v>
      </x:c>
      <x:c r="E54" s="67" t="n">
        <x:f>MAX(0,MIN(B54,'SOFR Inputs'!$J$7)-'SOFR Inputs'!$J$5)</x:f>
        <x:v>164</x:v>
      </x:c>
      <x:c r="F54" s="67" t="n">
        <x:f>MAX(0,MIN(B54,'SOFR Inputs'!$J$8)-'SOFR Inputs'!$J$7)</x:f>
        <x:v>1827</x:v>
      </x:c>
      <x:c r="G54" s="67" t="n">
        <x:f>MAX(0,B54-'SOFR Inputs'!$J$8)</x:f>
        <x:v>16276</x:v>
      </x:c>
      <x:c r="H54" s="66" t="n">
        <x:f>E54/365*'SOFR Inputs'!$J$10+F54/365*'SOFR Inputs'!$J$11+G54/365*'SOFR Inputs'!$J$12</x:f>
        <x:v>0.764366301369863</x:v>
      </x:c>
      <x:c r="I54" s="38" t="n">
        <x:f>D54*EXP(-H54)</x:f>
        <x:v>0.05584082459547158</x:v>
      </x:c>
      <x:c r="J54" s="66" t="n">
        <x:f>C54*D54</x:f>
        <x:v>0.12125810379567024</x:v>
      </x:c>
      <x:c r="K54" s="66" t="n">
        <x:f>C54*I54</x:f>
        <x:v>0.056461278202087926</x:v>
      </x:c>
      <x:c r="L54" s="66" t="n">
        <x:f>SUM($J$5:J54)</x:f>
        <x:v>18.869878310880722</x:v>
      </x:c>
      <x:c r="M54" s="66" t="n">
        <x:f>SUM($K$5:K54)</x:f>
        <x:v>14.81961913306606</x:v>
      </x:c>
      <x:c r="N54" s="88" t="n">
        <x:f>('SOFR Inputs'!$J$13-D54)/L54*100</x:f>
        <x:v>4.662763356924709</x:v>
      </x:c>
      <x:c r="O54" s="88" t="n">
        <x:f>('SOFR Inputs'!$J$14-I54)/M54*100</x:f>
        <x:v>6.369099304486252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9" hidden="0" customWidth="1"/>
    <x:col min="4" max="4" width="13" hidden="0" customWidth="1"/>
    <x:col min="5" max="5" width="13" hidden="0" customWidth="1"/>
    <x:col min="6" max="6" width="13" hidden="0" customWidth="1"/>
    <x:col min="7" max="7" width="15" hidden="0" customWidth="1"/>
    <x:col min="8" max="8" width="19" hidden="0" customWidth="1"/>
    <x:col min="9" max="9" width="16" hidden="0" customWidth="1"/>
    <x:col min="10" max="10" width="17" hidden="0" customWidth="1"/>
    <x:col min="11" max="11" width="18" hidden="0" customWidth="1"/>
    <x:col min="12" max="12" width="22" hidden="0" customWidth="1"/>
    <x:col min="13" max="13" width="20" hidden="0" customWidth="1"/>
    <x:col min="14" max="14" width="20" hidden="0" customWidth="1"/>
  </x:cols>
  <x:sheetData>
    <x:row r="1">
      <x:c r="A1" s="50" t="str">
        <x:v>DF-based funding curve conversion — calculated from SOFR discount factors, not from system MTM</x:v>
      </x:c>
    </x:row>
    <x:row r="2">
      <x:c r="A2" s="52" t="str">
        <x:v>Calculated Curve Spread = Funding par rate implied by target funding DFs − Base par rate reconstructed from the same SOFR DFs. Target System Quote = displayed market quote + calculated curve spread.</x:v>
      </x:c>
    </x:row>
    <x:row r="4">
      <x:c r="A4" s="55" t="str">
        <x:v>Tenor</x:v>
      </x:c>
      <x:c r="B4" s="55" t="str">
        <x:v>Maturity</x:v>
      </x:c>
      <x:c r="C4" s="55" t="str">
        <x:v>Base SOFR DF</x:v>
      </x:c>
      <x:c r="D4" s="55" t="str">
        <x:v>Days @1.21%</x:v>
      </x:c>
      <x:c r="E4" s="55" t="str">
        <x:v>Days @1.71%</x:v>
      </x:c>
      <x:c r="F4" s="55" t="str">
        <x:v>Days @1.51%</x:v>
      </x:c>
      <x:c r="G4" s="55" t="str">
        <x:v>Spread Integral</x:v>
      </x:c>
      <x:c r="H4" s="55" t="str">
        <x:v>Target Funding DF</x:v>
      </x:c>
      <x:c r="I4" s="55" t="str">
        <x:v>Market Quote (%)</x:v>
      </x:c>
      <x:c r="J4" s="55" t="str">
        <x:v>Base Model Par (%)</x:v>
      </x:c>
      <x:c r="K4" s="55" t="str">
        <x:v>Funding Model Par (%)</x:v>
      </x:c>
      <x:c r="L4" s="55" t="str">
        <x:v>Calculated Curve Spread (%)</x:v>
      </x:c>
      <x:c r="M4" s="55" t="str">
        <x:v>Target System Quote (%)</x:v>
      </x:c>
      <x:c r="N4" s="55" t="str">
        <x:v>Base Quote Control Error (bp)</x:v>
      </x:c>
    </x:row>
    <x:row r="5">
      <x:c r="A5" s="58" t="str">
        <x:f>'SOFR Inputs'!A5</x:f>
        <x:v>O/N</x:v>
      </x:c>
      <x:c r="B5" s="60" t="n">
        <x:f>'SOFR Inputs'!C5</x:f>
        <x:v>46301</x:v>
      </x:c>
      <x:c r="C5" s="72" t="n">
        <x:f>'SOFR Inputs'!D5</x:f>
        <x:v>0.999891678401507</x:v>
      </x:c>
      <x:c r="D5" s="67" t="n">
        <x:f>MAX(0,MIN(B5,'SOFR Inputs'!$J$7)-'SOFR Inputs'!$J$5)</x:f>
        <x:v>1</x:v>
      </x:c>
      <x:c r="E5" s="67" t="n">
        <x:f>MAX(0,MIN(B5,'SOFR Inputs'!$J$8)-'SOFR Inputs'!$J$7)</x:f>
        <x:v>0</x:v>
      </x:c>
      <x:c r="F5" s="67" t="n">
        <x:f>MAX(0,B5-'SOFR Inputs'!$J$8)</x:f>
        <x:v>0</x:v>
      </x:c>
      <x:c r="G5" s="66" t="n">
        <x:f>D5/365*'SOFR Inputs'!$J$10+E5/365*'SOFR Inputs'!$J$11+F5/365*'SOFR Inputs'!$J$12</x:f>
        <x:v>0.00003315068493150685</x:v>
      </x:c>
      <x:c r="H5" s="38" t="n">
        <x:f>C5*EXP(-G5)</x:f>
        <x:v>0.9998585318569291</x:v>
      </x:c>
      <x:c r="I5" s="88" t="n">
        <x:f>'SOFR Inputs'!F5</x:f>
        <x:v>3.9</x:v>
      </x:c>
      <x:c r="J5" s="88" t="n">
        <x:f>(1-C5)/((B5-'SOFR Inputs'!$J$5)/360*C5)*100</x:f>
        <x:v>3.899999999984109</x:v>
      </x:c>
      <x:c r="K5" s="88" t="n">
        <x:f>(1-H5)/((B5-'SOFR Inputs'!$J$5)/360*H5)*100</x:f>
        <x:v>5.093573728970221</x:v>
      </x:c>
      <x:c r="L5" s="89" t="n">
        <x:f>K5-J5</x:f>
        <x:v>1.1935737289861121</x:v>
      </x:c>
      <x:c r="M5" s="89" t="n">
        <x:f>I5+L5</x:f>
        <x:v>5.093573728986112</x:v>
      </x:c>
      <x:c r="N5" s="88" t="n">
        <x:f>(J5-I5)*100</x:f>
        <x:v>-1.589084419606479e-9</x:v>
      </x:c>
    </x:row>
    <x:row r="6">
      <x:c r="A6" s="58" t="str">
        <x:f>'SOFR Inputs'!A6</x:f>
        <x:v>2W</x:v>
      </x:c>
      <x:c r="B6" s="60" t="n">
        <x:f>'SOFR Inputs'!C6</x:f>
        <x:v>46318</x:v>
      </x:c>
      <x:c r="C6" s="72" t="n">
        <x:f>'SOFR Inputs'!D6</x:f>
        <x:v>0.998059757551154</x:v>
      </x:c>
      <x:c r="D6" s="67" t="n">
        <x:f>MAX(0,MIN(B6,'SOFR Inputs'!$J$7)-'SOFR Inputs'!$J$5)</x:f>
        <x:v>18</x:v>
      </x:c>
      <x:c r="E6" s="67" t="n">
        <x:f>MAX(0,MIN(B6,'SOFR Inputs'!$J$8)-'SOFR Inputs'!$J$7)</x:f>
        <x:v>0</x:v>
      </x:c>
      <x:c r="F6" s="67" t="n">
        <x:f>MAX(0,B6-'SOFR Inputs'!$J$8)</x:f>
        <x:v>0</x:v>
      </x:c>
      <x:c r="G6" s="66" t="n">
        <x:f>D6/365*'SOFR Inputs'!$J$10+E6/365*'SOFR Inputs'!$J$11+F6/365*'SOFR Inputs'!$J$12</x:f>
        <x:v>0.0005967123287671232</x:v>
      </x:c>
      <x:c r="H6" s="38" t="n">
        <x:f>C6*EXP(-G6)</x:f>
        <x:v>0.9974643806410143</x:v>
      </x:c>
      <x:c r="I6" s="88" t="n">
        <x:f>'SOFR Inputs'!F6</x:f>
        <x:v>3.8868</x:v>
      </x:c>
      <x:c r="J6" s="88" t="n">
        <x:f>('SOFR Inputs'!$J$13-C6)/((B6-'SOFR Inputs'!$J$6)/360*C6)*100</x:f>
        <x:v>3.8856638471525735</x:v>
      </x:c>
      <x:c r="K6" s="88" t="n">
        <x:f>('SOFR Inputs'!$J$14-H6)/((B6-'SOFR Inputs'!$J$6)/360*H6)*100</x:f>
        <x:v>5.081466608783395</x:v>
      </x:c>
      <x:c r="L6" s="89" t="n">
        <x:f>K6-J6</x:f>
        <x:v>1.1958027616308216</x:v>
      </x:c>
      <x:c r="M6" s="89" t="n">
        <x:f>I6+L6</x:f>
        <x:v>5.082602761630822</x:v>
      </x:c>
      <x:c r="N6" s="88" t="n">
        <x:f>(J6-I6)*100</x:f>
        <x:v>-0.11361528474265192</x:v>
      </x:c>
    </x:row>
    <x:row r="7">
      <x:c r="A7" s="58" t="str">
        <x:f>'SOFR Inputs'!A7</x:f>
        <x:v>3W</x:v>
      </x:c>
      <x:c r="B7" s="60" t="n">
        <x:f>'SOFR Inputs'!C7</x:f>
        <x:v>46325</x:v>
      </x:c>
      <x:c r="C7" s="72" t="n">
        <x:f>'SOFR Inputs'!D7</x:f>
        <x:v>0.997303296996777</x:v>
      </x:c>
      <x:c r="D7" s="67" t="n">
        <x:f>MAX(0,MIN(B7,'SOFR Inputs'!$J$7)-'SOFR Inputs'!$J$5)</x:f>
        <x:v>25</x:v>
      </x:c>
      <x:c r="E7" s="67" t="n">
        <x:f>MAX(0,MIN(B7,'SOFR Inputs'!$J$8)-'SOFR Inputs'!$J$7)</x:f>
        <x:v>0</x:v>
      </x:c>
      <x:c r="F7" s="67" t="n">
        <x:f>MAX(0,B7-'SOFR Inputs'!$J$8)</x:f>
        <x:v>0</x:v>
      </x:c>
      <x:c r="G7" s="66" t="n">
        <x:f>D7/365*'SOFR Inputs'!$J$10+E7/365*'SOFR Inputs'!$J$11+F7/365*'SOFR Inputs'!$J$12</x:f>
        <x:v>0.0008287671232876712</x:v>
      </x:c>
      <x:c r="H7" s="38" t="n">
        <x:f>C7*EXP(-G7)</x:f>
        <x:v>0.9964771072190317</x:v>
      </x:c>
      <x:c r="I7" s="88" t="n">
        <x:f>'SOFR Inputs'!F7</x:f>
        <x:v>3.88825</x:v>
      </x:c>
      <x:c r="J7" s="88" t="n">
        <x:f>('SOFR Inputs'!$J$13-C7)/((B7-'SOFR Inputs'!$J$6)/360*C7)*100</x:f>
        <x:v>3.8923476112755333</x:v>
      </x:c>
      <x:c r="K7" s="88" t="n">
        <x:f>('SOFR Inputs'!$J$14-H7)/((B7-'SOFR Inputs'!$J$6)/360*H7)*100</x:f>
        <x:v>5.089196270638525</x:v>
      </x:c>
      <x:c r="L7" s="89" t="n">
        <x:f>K7-J7</x:f>
        <x:v>1.196848659362992</x:v>
      </x:c>
      <x:c r="M7" s="89" t="n">
        <x:f>I7+L7</x:f>
        <x:v>5.085098659362992</x:v>
      </x:c>
      <x:c r="N7" s="88" t="n">
        <x:f>(J7-I7)*100</x:f>
        <x:v>0.40976112755330973</x:v>
      </x:c>
    </x:row>
    <x:row r="8">
      <x:c r="A8" s="58" t="str">
        <x:f>'SOFR Inputs'!A8</x:f>
        <x:v>1M</x:v>
      </x:c>
      <x:c r="B8" s="60" t="n">
        <x:f>'SOFR Inputs'!C8</x:f>
        <x:v>46338</x:v>
      </x:c>
      <x:c r="C8" s="72" t="n">
        <x:f>'SOFR Inputs'!D8</x:f>
        <x:v>0.995884424675813</x:v>
      </x:c>
      <x:c r="D8" s="67" t="n">
        <x:f>MAX(0,MIN(B8,'SOFR Inputs'!$J$7)-'SOFR Inputs'!$J$5)</x:f>
        <x:v>38</x:v>
      </x:c>
      <x:c r="E8" s="67" t="n">
        <x:f>MAX(0,MIN(B8,'SOFR Inputs'!$J$8)-'SOFR Inputs'!$J$7)</x:f>
        <x:v>0</x:v>
      </x:c>
      <x:c r="F8" s="67" t="n">
        <x:f>MAX(0,B8-'SOFR Inputs'!$J$8)</x:f>
        <x:v>0</x:v>
      </x:c>
      <x:c r="G8" s="66" t="n">
        <x:f>D8/365*'SOFR Inputs'!$J$10+E8/365*'SOFR Inputs'!$J$11+F8/365*'SOFR Inputs'!$J$12</x:f>
        <x:v>0.0012597260273972603</x:v>
      </x:c>
      <x:c r="H8" s="38" t="n">
        <x:f>C8*EXP(-G8)</x:f>
        <x:v>0.9946306730033754</x:v>
      </x:c>
      <x:c r="I8" s="88" t="n">
        <x:f>'SOFR Inputs'!F8</x:f>
        <x:v>3.9134</x:v>
      </x:c>
      <x:c r="J8" s="88" t="n">
        <x:f>('SOFR Inputs'!$J$13-C8)/((B8-'SOFR Inputs'!$J$6)/360*C8)*100</x:f>
        <x:v>3.9150565709859557</x:v>
      </x:c>
      <x:c r="K8" s="88" t="n">
        <x:f>('SOFR Inputs'!$J$14-H8)/((B8-'SOFR Inputs'!$J$6)/360*H8)*100</x:f>
        <x:v>5.113868757293803</x:v>
      </x:c>
      <x:c r="L8" s="89" t="n">
        <x:f>K8-J8</x:f>
        <x:v>1.1988121863078471</x:v>
      </x:c>
      <x:c r="M8" s="89" t="n">
        <x:f>I8+L8</x:f>
        <x:v>5.112212186307847</x:v>
      </x:c>
      <x:c r="N8" s="88" t="n">
        <x:f>(J8-I8)*100</x:f>
        <x:v>0.16565709859555078</x:v>
      </x:c>
    </x:row>
    <x:row r="9">
      <x:c r="A9" s="58" t="str">
        <x:f>'SOFR Inputs'!A9</x:f>
        <x:v>2M</x:v>
      </x:c>
      <x:c r="B9" s="60" t="n">
        <x:f>'SOFR Inputs'!C9</x:f>
        <x:v>46365</x:v>
      </x:c>
      <x:c r="C9" s="72" t="n">
        <x:f>'SOFR Inputs'!D9</x:f>
        <x:v>0.992910960791187</x:v>
      </x:c>
      <x:c r="D9" s="67" t="n">
        <x:f>MAX(0,MIN(B9,'SOFR Inputs'!$J$7)-'SOFR Inputs'!$J$5)</x:f>
        <x:v>65</x:v>
      </x:c>
      <x:c r="E9" s="67" t="n">
        <x:f>MAX(0,MIN(B9,'SOFR Inputs'!$J$8)-'SOFR Inputs'!$J$7)</x:f>
        <x:v>0</x:v>
      </x:c>
      <x:c r="F9" s="67" t="n">
        <x:f>MAX(0,B9-'SOFR Inputs'!$J$8)</x:f>
        <x:v>0</x:v>
      </x:c>
      <x:c r="G9" s="66" t="n">
        <x:f>D9/365*'SOFR Inputs'!$J$10+E9/365*'SOFR Inputs'!$J$11+F9/365*'SOFR Inputs'!$J$12</x:f>
        <x:v>0.002154794520547945</x:v>
      </x:c>
      <x:c r="H9" s="38" t="n">
        <x:f>C9*EXP(-G9)</x:f>
        <x:v>0.9907737451507069</x:v>
      </x:c>
      <x:c r="I9" s="88" t="n">
        <x:f>'SOFR Inputs'!F9</x:f>
        <x:v>3.94985</x:v>
      </x:c>
      <x:c r="J9" s="88" t="n">
        <x:f>('SOFR Inputs'!$J$13-C9)/((B9-'SOFR Inputs'!$J$6)/360*C9)*100</x:f>
        <x:v>3.955128199105368</x:v>
      </x:c>
      <x:c r="K9" s="88" t="n">
        <x:f>('SOFR Inputs'!$J$14-H9)/((B9-'SOFR Inputs'!$J$6)/360*H9)*100</x:f>
        <x:v>5.158068844193307</x:v>
      </x:c>
      <x:c r="L9" s="89" t="n">
        <x:f>K9-J9</x:f>
        <x:v>1.2029406450879394</x:v>
      </x:c>
      <x:c r="M9" s="89" t="n">
        <x:f>I9+L9</x:f>
        <x:v>5.15279064508794</x:v>
      </x:c>
      <x:c r="N9" s="88" t="n">
        <x:f>(J9-I9)*100</x:f>
        <x:v>0.5278199105367865</x:v>
      </x:c>
    </x:row>
    <x:row r="10">
      <x:c r="A10" s="58" t="str">
        <x:f>'SOFR Inputs'!A10</x:f>
        <x:v>3M</x:v>
      </x:c>
      <x:c r="B10" s="60" t="n">
        <x:f>'SOFR Inputs'!C10</x:f>
        <x:v>46398</x:v>
      </x:c>
      <x:c r="C10" s="72" t="n">
        <x:f>'SOFR Inputs'!D10</x:f>
        <x:v>0.989138490578306</x:v>
      </x:c>
      <x:c r="D10" s="67" t="n">
        <x:f>MAX(0,MIN(B10,'SOFR Inputs'!$J$7)-'SOFR Inputs'!$J$5)</x:f>
        <x:v>98</x:v>
      </x:c>
      <x:c r="E10" s="67" t="n">
        <x:f>MAX(0,MIN(B10,'SOFR Inputs'!$J$8)-'SOFR Inputs'!$J$7)</x:f>
        <x:v>0</x:v>
      </x:c>
      <x:c r="F10" s="67" t="n">
        <x:f>MAX(0,B10-'SOFR Inputs'!$J$8)</x:f>
        <x:v>0</x:v>
      </x:c>
      <x:c r="G10" s="66" t="n">
        <x:f>D10/365*'SOFR Inputs'!$J$10+E10/365*'SOFR Inputs'!$J$11+F10/365*'SOFR Inputs'!$J$12</x:f>
        <x:v>0.0032487671232876714</x:v>
      </x:c>
      <x:c r="H10" s="38" t="n">
        <x:f>C10*EXP(-G10)</x:f>
        <x:v>0.9859302242466276</x:v>
      </x:c>
      <x:c r="I10" s="88" t="n">
        <x:f>'SOFR Inputs'!F10</x:f>
        <x:v>4.0279</x:v>
      </x:c>
      <x:c r="J10" s="88" t="n">
        <x:f>('SOFR Inputs'!$J$13-C10)/((B10-'SOFR Inputs'!$J$6)/360*C10)*100</x:f>
        <x:v>4.035662621944723</x:v>
      </x:c>
      <x:c r="K10" s="88" t="n">
        <x:f>('SOFR Inputs'!$J$14-H10)/((B10-'SOFR Inputs'!$J$6)/360*H10)*100</x:f>
        <x:v>5.24385212870949</x:v>
      </x:c>
      <x:c r="L10" s="89" t="n">
        <x:f>K10-J10</x:f>
        <x:v>1.208189506764767</x:v>
      </x:c>
      <x:c r="M10" s="89" t="n">
        <x:f>I10+L10</x:f>
        <x:v>5.236089506764767</x:v>
      </x:c>
      <x:c r="N10" s="88" t="n">
        <x:f>(J10-I10)*100</x:f>
        <x:v>0.7762621944722881</x:v>
      </x:c>
    </x:row>
    <x:row r="11">
      <x:c r="A11" s="58" t="str">
        <x:f>'SOFR Inputs'!A11</x:f>
        <x:v>4M</x:v>
      </x:c>
      <x:c r="B11" s="60" t="n">
        <x:f>'SOFR Inputs'!C11</x:f>
        <x:v>46428</x:v>
      </x:c>
      <x:c r="C11" s="72" t="n">
        <x:f>'SOFR Inputs'!D11</x:f>
        <x:v>0.985682151594603</x:v>
      </x:c>
      <x:c r="D11" s="67" t="n">
        <x:f>MAX(0,MIN(B11,'SOFR Inputs'!$J$7)-'SOFR Inputs'!$J$5)</x:f>
        <x:v>128</x:v>
      </x:c>
      <x:c r="E11" s="67" t="n">
        <x:f>MAX(0,MIN(B11,'SOFR Inputs'!$J$8)-'SOFR Inputs'!$J$7)</x:f>
        <x:v>0</x:v>
      </x:c>
      <x:c r="F11" s="67" t="n">
        <x:f>MAX(0,B11-'SOFR Inputs'!$J$8)</x:f>
        <x:v>0</x:v>
      </x:c>
      <x:c r="G11" s="66" t="n">
        <x:f>D11/365*'SOFR Inputs'!$J$10+E11/365*'SOFR Inputs'!$J$11+F11/365*'SOFR Inputs'!$J$12</x:f>
        <x:v>0.004243287671232877</x:v>
      </x:c>
      <x:c r="H11" s="38" t="n">
        <x:f>C11*EXP(-G11)</x:f>
        <x:v>0.9815084799800553</x:v>
      </x:c>
      <x:c r="I11" s="88" t="n">
        <x:f>'SOFR Inputs'!F11</x:f>
        <x:v>4.0845</x:v>
      </x:c>
      <x:c r="J11" s="88" t="n">
        <x:f>('SOFR Inputs'!$J$13-C11)/((B11-'SOFR Inputs'!$J$6)/360*C11)*100</x:f>
        <x:v>4.087442508482086</x:v>
      </x:c>
      <x:c r="K11" s="88" t="n">
        <x:f>('SOFR Inputs'!$J$14-H11)/((B11-'SOFR Inputs'!$J$6)/360*H11)*100</x:f>
        <x:v>5.30047199749633</x:v>
      </x:c>
      <x:c r="L11" s="89" t="n">
        <x:f>K11-J11</x:f>
        <x:v>1.213029489014244</x:v>
      </x:c>
      <x:c r="M11" s="89" t="n">
        <x:f>I11+L11</x:f>
        <x:v>5.297529489014244</x:v>
      </x:c>
      <x:c r="N11" s="88" t="n">
        <x:f>(J11-I11)*100</x:f>
        <x:v>0.29425084820857705</x:v>
      </x:c>
    </x:row>
    <x:row r="12">
      <x:c r="A12" s="58" t="str">
        <x:f>'SOFR Inputs'!A12</x:f>
        <x:v>5M</x:v>
      </x:c>
      <x:c r="B12" s="60" t="n">
        <x:f>'SOFR Inputs'!C12</x:f>
        <x:v>46456</x:v>
      </x:c>
      <x:c r="C12" s="72" t="n">
        <x:f>'SOFR Inputs'!D12</x:f>
        <x:v>0.982425008743029</x:v>
      </x:c>
      <x:c r="D12" s="67" t="n">
        <x:f>MAX(0,MIN(B12,'SOFR Inputs'!$J$7)-'SOFR Inputs'!$J$5)</x:f>
        <x:v>156</x:v>
      </x:c>
      <x:c r="E12" s="67" t="n">
        <x:f>MAX(0,MIN(B12,'SOFR Inputs'!$J$8)-'SOFR Inputs'!$J$7)</x:f>
        <x:v>0</x:v>
      </x:c>
      <x:c r="F12" s="67" t="n">
        <x:f>MAX(0,B12-'SOFR Inputs'!$J$8)</x:f>
        <x:v>0</x:v>
      </x:c>
      <x:c r="G12" s="66" t="n">
        <x:f>D12/365*'SOFR Inputs'!$J$10+E12/365*'SOFR Inputs'!$J$11+F12/365*'SOFR Inputs'!$J$12</x:f>
        <x:v>0.005171506849315069</x:v>
      </x:c>
      <x:c r="H12" s="38" t="n">
        <x:f>C12*EXP(-G12)</x:f>
        <x:v>0.9773575056887271</x:v>
      </x:c>
      <x:c r="I12" s="88" t="n">
        <x:f>'SOFR Inputs'!F12</x:f>
        <x:v>4.12715</x:v>
      </x:c>
      <x:c r="J12" s="88" t="n">
        <x:f>('SOFR Inputs'!$J$13-C12)/((B12-'SOFR Inputs'!$J$6)/360*C12)*100</x:f>
        <x:v>4.130389960746241</x:v>
      </x:c>
      <x:c r="K12" s="88" t="n">
        <x:f>('SOFR Inputs'!$J$14-H12)/((B12-'SOFR Inputs'!$J$6)/360*H12)*100</x:f>
        <x:v>5.348006554620734</x:v>
      </x:c>
      <x:c r="L12" s="89" t="n">
        <x:f>K12-J12</x:f>
        <x:v>1.2176165938744932</x:v>
      </x:c>
      <x:c r="M12" s="89" t="n">
        <x:f>I12+L12</x:f>
        <x:v>5.3447665938744935</x:v>
      </x:c>
      <x:c r="N12" s="88" t="n">
        <x:f>(J12-I12)*100</x:f>
        <x:v>0.32399607462405555</x:v>
      </x:c>
    </x:row>
    <x:row r="13">
      <x:c r="A13" s="58" t="str">
        <x:f>'SOFR Inputs'!A13</x:f>
        <x:v>6M</x:v>
      </x:c>
      <x:c r="B13" s="60" t="n">
        <x:f>'SOFR Inputs'!C13</x:f>
        <x:v>46486</x:v>
      </x:c>
      <x:c r="C13" s="72" t="n">
        <x:f>'SOFR Inputs'!D13</x:f>
        <x:v>0.978864238909576</x:v>
      </x:c>
      <x:c r="D13" s="67" t="n">
        <x:f>MAX(0,MIN(B13,'SOFR Inputs'!$J$7)-'SOFR Inputs'!$J$5)</x:f>
        <x:v>164</x:v>
      </x:c>
      <x:c r="E13" s="67" t="n">
        <x:f>MAX(0,MIN(B13,'SOFR Inputs'!$J$8)-'SOFR Inputs'!$J$7)</x:f>
        <x:v>22</x:v>
      </x:c>
      <x:c r="F13" s="67" t="n">
        <x:f>MAX(0,B13-'SOFR Inputs'!$J$8)</x:f>
        <x:v>0</x:v>
      </x:c>
      <x:c r="G13" s="66" t="n">
        <x:f>D13/365*'SOFR Inputs'!$J$10+E13/365*'SOFR Inputs'!$J$11+F13/365*'SOFR Inputs'!$J$12</x:f>
        <x:v>0.006467397260273972</x:v>
      </x:c>
      <x:c r="H13" s="38" t="n">
        <x:f>C13*EXP(-G13)</x:f>
        <x:v>0.972553962539823</x:v>
      </x:c>
      <x:c r="I13" s="88" t="n">
        <x:f>'SOFR Inputs'!F13</x:f>
        <x:v>4.1779</x:v>
      </x:c>
      <x:c r="J13" s="88" t="n">
        <x:f>('SOFR Inputs'!$J$13-C13)/((B13-'SOFR Inputs'!$J$6)/360*C13)*100</x:f>
        <x:v>4.1812470260962105</x:v>
      </x:c>
      <x:c r="K13" s="88" t="n">
        <x:f>('SOFR Inputs'!$J$14-H13)/((B13-'SOFR Inputs'!$J$6)/360*H13)*100</x:f>
        <x:v>5.464502655126768</x:v>
      </x:c>
      <x:c r="L13" s="89" t="n">
        <x:f>K13-J13</x:f>
        <x:v>1.283255629030558</x:v>
      </x:c>
      <x:c r="M13" s="89" t="n">
        <x:f>I13+L13</x:f>
        <x:v>5.461155629030558</x:v>
      </x:c>
      <x:c r="N13" s="88" t="n">
        <x:f>(J13-I13)*100</x:f>
        <x:v>0.33470260962102927</x:v>
      </x:c>
    </x:row>
    <x:row r="14">
      <x:c r="A14" s="58" t="str">
        <x:f>'SOFR Inputs'!A14</x:f>
        <x:v>7M</x:v>
      </x:c>
      <x:c r="B14" s="60" t="n">
        <x:f>'SOFR Inputs'!C14</x:f>
        <x:v>46518</x:v>
      </x:c>
      <x:c r="C14" s="72" t="n">
        <x:f>'SOFR Inputs'!D14</x:f>
        <x:v>0.975000516423471</x:v>
      </x:c>
      <x:c r="D14" s="67" t="n">
        <x:f>MAX(0,MIN(B14,'SOFR Inputs'!$J$7)-'SOFR Inputs'!$J$5)</x:f>
        <x:v>164</x:v>
      </x:c>
      <x:c r="E14" s="67" t="n">
        <x:f>MAX(0,MIN(B14,'SOFR Inputs'!$J$8)-'SOFR Inputs'!$J$7)</x:f>
        <x:v>54</x:v>
      </x:c>
      <x:c r="F14" s="67" t="n">
        <x:f>MAX(0,B14-'SOFR Inputs'!$J$8)</x:f>
        <x:v>0</x:v>
      </x:c>
      <x:c r="G14" s="66" t="n">
        <x:f>D14/365*'SOFR Inputs'!$J$10+E14/365*'SOFR Inputs'!$J$11+F14/365*'SOFR Inputs'!$J$12</x:f>
        <x:v>0.007966575342465754</x:v>
      </x:c>
      <x:c r="H14" s="38" t="n">
        <x:f>C14*EXP(-G14)</x:f>
        <x:v>0.9672639592009691</x:v>
      </x:c>
      <x:c r="I14" s="88" t="n">
        <x:f>'SOFR Inputs'!F14</x:f>
        <x:v>4.2294</x:v>
      </x:c>
      <x:c r="J14" s="88" t="n">
        <x:f>('SOFR Inputs'!$J$13-C14)/((B14-'SOFR Inputs'!$J$6)/360*C14)*100</x:f>
        <x:v>4.236382732736196</x:v>
      </x:c>
      <x:c r="K14" s="88" t="n">
        <x:f>('SOFR Inputs'!$J$14-H14)/((B14-'SOFR Inputs'!$J$6)/360*H14)*100</x:f>
        <x:v>5.591911118197254</x:v>
      </x:c>
      <x:c r="L14" s="89" t="n">
        <x:f>K14-J14</x:f>
        <x:v>1.3555283854610582</x:v>
      </x:c>
      <x:c r="M14" s="89" t="n">
        <x:f>I14+L14</x:f>
        <x:v>5.584928385461058</x:v>
      </x:c>
      <x:c r="N14" s="88" t="n">
        <x:f>(J14-I14)*100</x:f>
        <x:v>0.6982732736195985</x:v>
      </x:c>
    </x:row>
    <x:row r="15">
      <x:c r="A15" s="58" t="str">
        <x:f>'SOFR Inputs'!A15</x:f>
        <x:v>8M</x:v>
      </x:c>
      <x:c r="B15" s="60" t="n">
        <x:f>'SOFR Inputs'!C15</x:f>
        <x:v>46547</x:v>
      </x:c>
      <x:c r="C15" s="72" t="n">
        <x:f>'SOFR Inputs'!D15</x:f>
        <x:v>0.971438474078365</x:v>
      </x:c>
      <x:c r="D15" s="67" t="n">
        <x:f>MAX(0,MIN(B15,'SOFR Inputs'!$J$7)-'SOFR Inputs'!$J$5)</x:f>
        <x:v>164</x:v>
      </x:c>
      <x:c r="E15" s="67" t="n">
        <x:f>MAX(0,MIN(B15,'SOFR Inputs'!$J$8)-'SOFR Inputs'!$J$7)</x:f>
        <x:v>83</x:v>
      </x:c>
      <x:c r="F15" s="67" t="n">
        <x:f>MAX(0,B15-'SOFR Inputs'!$J$8)</x:f>
        <x:v>0</x:v>
      </x:c>
      <x:c r="G15" s="66" t="n">
        <x:f>D15/365*'SOFR Inputs'!$J$10+E15/365*'SOFR Inputs'!$J$11+F15/365*'SOFR Inputs'!$J$12</x:f>
        <x:v>0.009325205479452054</x:v>
      </x:c>
      <x:c r="H15" s="38" t="n">
        <x:f>C15*EXP(-G15)</x:f>
        <x:v>0.9624217175913647</x:v>
      </x:c>
      <x:c r="I15" s="88" t="n">
        <x:f>'SOFR Inputs'!F15</x:f>
        <x:v>4.28385</x:v>
      </x:c>
      <x:c r="J15" s="88" t="n">
        <x:f>('SOFR Inputs'!$J$13-C15)/((B15-'SOFR Inputs'!$J$6)/360*C15)*100</x:f>
        <x:v>4.28741932175158</x:v>
      </x:c>
      <x:c r="K15" s="88" t="n">
        <x:f>('SOFR Inputs'!$J$14-H15)/((B15-'SOFR Inputs'!$J$6)/360*H15)*100</x:f>
        <x:v>5.694110317776018</x:v>
      </x:c>
      <x:c r="L15" s="89" t="n">
        <x:f>K15-J15</x:f>
        <x:v>1.4066909960244383</x:v>
      </x:c>
      <x:c r="M15" s="89" t="n">
        <x:f>I15+L15</x:f>
        <x:v>5.690540996024438</x:v>
      </x:c>
      <x:c r="N15" s="88" t="n">
        <x:f>(J15-I15)*100</x:f>
        <x:v>0.3569321751579757</x:v>
      </x:c>
    </x:row>
    <x:row r="16">
      <x:c r="A16" s="58" t="str">
        <x:f>'SOFR Inputs'!A16</x:f>
        <x:v>9M</x:v>
      </x:c>
      <x:c r="B16" s="60" t="n">
        <x:f>'SOFR Inputs'!C16</x:f>
        <x:v>46577</x:v>
      </x:c>
      <x:c r="C16" s="72" t="n">
        <x:f>'SOFR Inputs'!D16</x:f>
        <x:v>0.967710991147919</x:v>
      </x:c>
      <x:c r="D16" s="67" t="n">
        <x:f>MAX(0,MIN(B16,'SOFR Inputs'!$J$7)-'SOFR Inputs'!$J$5)</x:f>
        <x:v>164</x:v>
      </x:c>
      <x:c r="E16" s="67" t="n">
        <x:f>MAX(0,MIN(B16,'SOFR Inputs'!$J$8)-'SOFR Inputs'!$J$7)</x:f>
        <x:v>113</x:v>
      </x:c>
      <x:c r="F16" s="67" t="n">
        <x:f>MAX(0,B16-'SOFR Inputs'!$J$8)</x:f>
        <x:v>0</x:v>
      </x:c>
      <x:c r="G16" s="66" t="n">
        <x:f>D16/365*'SOFR Inputs'!$J$10+E16/365*'SOFR Inputs'!$J$11+F16/365*'SOFR Inputs'!$J$12</x:f>
        <x:v>0.010730684931506848</x:v>
      </x:c>
      <x:c r="H16" s="38" t="n">
        <x:f>C16*EXP(-G16)</x:f>
        <x:v>0.9573823054432709</x:v>
      </x:c>
      <x:c r="I16" s="88" t="n">
        <x:f>'SOFR Inputs'!F16</x:f>
        <x:v>4.3357</x:v>
      </x:c>
      <x:c r="J16" s="88" t="n">
        <x:f>('SOFR Inputs'!$J$13-C16)/((B16-'SOFR Inputs'!$J$6)/360*C16)*100</x:f>
        <x:v>4.338656691563252</x:v>
      </x:c>
      <x:c r="K16" s="88" t="n">
        <x:f>('SOFR Inputs'!$J$14-H16)/((B16-'SOFR Inputs'!$J$6)/360*H16)*100</x:f>
        <x:v>5.788708760819612</x:v>
      </x:c>
      <x:c r="L16" s="89" t="n">
        <x:f>K16-J16</x:f>
        <x:v>1.45005206925636</x:v>
      </x:c>
      <x:c r="M16" s="89" t="n">
        <x:f>I16+L16</x:f>
        <x:v>5.78575206925636</x:v>
      </x:c>
      <x:c r="N16" s="88" t="n">
        <x:f>(J16-I16)*100</x:f>
        <x:v>0.29566915632521784</x:v>
      </x:c>
    </x:row>
    <x:row r="17">
      <x:c r="A17" s="58" t="str">
        <x:f>'SOFR Inputs'!A17</x:f>
        <x:v>10M</x:v>
      </x:c>
      <x:c r="B17" s="60" t="n">
        <x:f>'SOFR Inputs'!C17</x:f>
        <x:v>46610</x:v>
      </x:c>
      <x:c r="C17" s="72" t="n">
        <x:f>'SOFR Inputs'!D17</x:f>
        <x:v>0.963610487955732</x:v>
      </x:c>
      <x:c r="D17" s="67" t="n">
        <x:f>MAX(0,MIN(B17,'SOFR Inputs'!$J$7)-'SOFR Inputs'!$J$5)</x:f>
        <x:v>164</x:v>
      </x:c>
      <x:c r="E17" s="67" t="n">
        <x:f>MAX(0,MIN(B17,'SOFR Inputs'!$J$8)-'SOFR Inputs'!$J$7)</x:f>
        <x:v>146</x:v>
      </x:c>
      <x:c r="F17" s="67" t="n">
        <x:f>MAX(0,B17-'SOFR Inputs'!$J$8)</x:f>
        <x:v>0</x:v>
      </x:c>
      <x:c r="G17" s="66" t="n">
        <x:f>D17/365*'SOFR Inputs'!$J$10+E17/365*'SOFR Inputs'!$J$11+F17/365*'SOFR Inputs'!$J$12</x:f>
        <x:v>0.012276712328767123</x:v>
      </x:c>
      <x:c r="H17" s="38" t="n">
        <x:f>C17*EXP(-G17)</x:f>
        <x:v>0.9518528395053668</x:v>
      </x:c>
      <x:c r="I17" s="88" t="n">
        <x:f>'SOFR Inputs'!F17</x:f>
        <x:v>4.3844</x:v>
      </x:c>
      <x:c r="J17" s="88" t="n">
        <x:f>('SOFR Inputs'!$J$13-C17)/((B17-'SOFR Inputs'!$J$6)/360*C17)*100</x:f>
        <x:v>4.387663980183679</x:v>
      </x:c>
      <x:c r="K17" s="88" t="n">
        <x:f>('SOFR Inputs'!$J$14-H17)/((B17-'SOFR Inputs'!$J$6)/360*H17)*100</x:f>
        <x:v>5.877507341153005</x:v>
      </x:c>
      <x:c r="L17" s="89" t="n">
        <x:f>K17-J17</x:f>
        <x:v>1.489843360969326</x:v>
      </x:c>
      <x:c r="M17" s="89" t="n">
        <x:f>I17+L17</x:f>
        <x:v>5.874243360969326</x:v>
      </x:c>
      <x:c r="N17" s="88" t="n">
        <x:f>(J17-I17)*100</x:f>
        <x:v>0.3263980183678683</x:v>
      </x:c>
    </x:row>
    <x:row r="18">
      <x:c r="A18" s="58" t="str">
        <x:f>'SOFR Inputs'!A18</x:f>
        <x:v>11M</x:v>
      </x:c>
      <x:c r="B18" s="60" t="n">
        <x:f>'SOFR Inputs'!C18</x:f>
        <x:v>46639</x:v>
      </x:c>
      <x:c r="C18" s="72" t="n">
        <x:f>'SOFR Inputs'!D18</x:f>
        <x:v>0.959944854580812</x:v>
      </x:c>
      <x:c r="D18" s="67" t="n">
        <x:f>MAX(0,MIN(B18,'SOFR Inputs'!$J$7)-'SOFR Inputs'!$J$5)</x:f>
        <x:v>164</x:v>
      </x:c>
      <x:c r="E18" s="67" t="n">
        <x:f>MAX(0,MIN(B18,'SOFR Inputs'!$J$8)-'SOFR Inputs'!$J$7)</x:f>
        <x:v>175</x:v>
      </x:c>
      <x:c r="F18" s="67" t="n">
        <x:f>MAX(0,B18-'SOFR Inputs'!$J$8)</x:f>
        <x:v>0</x:v>
      </x:c>
      <x:c r="G18" s="66" t="n">
        <x:f>D18/365*'SOFR Inputs'!$J$10+E18/365*'SOFR Inputs'!$J$11+F18/365*'SOFR Inputs'!$J$12</x:f>
        <x:v>0.013635342465753424</x:v>
      </x:c>
      <x:c r="H18" s="38" t="n">
        <x:f>C18*EXP(-G18)</x:f>
        <x:v>0.9469445112280651</x:v>
      </x:c>
      <x:c r="I18" s="88" t="n">
        <x:f>'SOFR Inputs'!F18</x:f>
        <x:v>4.4306</x:v>
      </x:c>
      <x:c r="J18" s="88" t="n">
        <x:f>('SOFR Inputs'!$J$13-C18)/((B18-'SOFR Inputs'!$J$6)/360*C18)*100</x:f>
        <x:v>4.4333237244177015</x:v>
      </x:c>
      <x:c r="K18" s="88" t="n">
        <x:f>('SOFR Inputs'!$J$14-H18)/((B18-'SOFR Inputs'!$J$6)/360*H18)*100</x:f>
        <x:v>5.953280340596114</x:v>
      </x:c>
      <x:c r="L18" s="89" t="n">
        <x:f>K18-J18</x:f>
        <x:v>1.5199566161784128</x:v>
      </x:c>
      <x:c r="M18" s="89" t="n">
        <x:f>I18+L18</x:f>
        <x:v>5.950556616178413</x:v>
      </x:c>
      <x:c r="N18" s="88" t="n">
        <x:f>(J18-I18)*100</x:f>
        <x:v>0.2723724417701412</x:v>
      </x:c>
    </x:row>
    <x:row r="19">
      <x:c r="A19" s="58" t="str">
        <x:f>'SOFR Inputs'!A19</x:f>
        <x:v>1Y</x:v>
      </x:c>
      <x:c r="B19" s="60" t="n">
        <x:f>'SOFR Inputs'!C19</x:f>
        <x:v>46672</x:v>
      </x:c>
      <x:c r="C19" s="72" t="n">
        <x:f>'SOFR Inputs'!D19</x:f>
        <x:v>0.955813571760834</x:v>
      </x:c>
      <x:c r="D19" s="67" t="n">
        <x:f>MAX(0,MIN(B19,'SOFR Inputs'!$J$7)-'SOFR Inputs'!$J$5)</x:f>
        <x:v>164</x:v>
      </x:c>
      <x:c r="E19" s="67" t="n">
        <x:f>MAX(0,MIN(B19,'SOFR Inputs'!$J$8)-'SOFR Inputs'!$J$7)</x:f>
        <x:v>208</x:v>
      </x:c>
      <x:c r="F19" s="67" t="n">
        <x:f>MAX(0,B19-'SOFR Inputs'!$J$8)</x:f>
        <x:v>0</x:v>
      </x:c>
      <x:c r="G19" s="66" t="n">
        <x:f>D19/365*'SOFR Inputs'!$J$10+E19/365*'SOFR Inputs'!$J$11+F19/365*'SOFR Inputs'!$J$12</x:f>
        <x:v>0.015181369863013699</x:v>
      </x:c>
      <x:c r="H19" s="38" t="n">
        <x:f>C19*EXP(-G19)</x:f>
        <x:v>0.9414126022167102</x:v>
      </x:c>
      <x:c r="I19" s="88" t="n">
        <x:f>'SOFR Inputs'!F19</x:f>
        <x:v>4.46945</x:v>
      </x:c>
      <x:c r="J19" s="88" t="n">
        <x:f>'Annual Grid'!N5</x:f>
        <x:v>4.4759171823752215</x:v>
      </x:c>
      <x:c r="K19" s="88" t="n">
        <x:f>'Annual Grid'!O5</x:f>
        <x:v>6.025910910819374</x:v>
      </x:c>
      <x:c r="L19" s="89" t="n">
        <x:f>K19-J19</x:f>
        <x:v>1.5499937284441527</x:v>
      </x:c>
      <x:c r="M19" s="89" t="n">
        <x:f>I19+L19</x:f>
        <x:v>6.019443728444153</x:v>
      </x:c>
      <x:c r="N19" s="88" t="n">
        <x:f>(J19-I19)*100</x:f>
        <x:v>0.646718237522137</x:v>
      </x:c>
    </x:row>
    <x:row r="20">
      <x:c r="A20" s="58" t="str">
        <x:f>'SOFR Inputs'!A20</x:f>
        <x:v>2Y</x:v>
      </x:c>
      <x:c r="B20" s="60" t="n">
        <x:f>'SOFR Inputs'!C20</x:f>
        <x:v>47038</x:v>
      </x:c>
      <x:c r="C20" s="72" t="n">
        <x:f>'SOFR Inputs'!D20</x:f>
        <x:v>0.910952307835874</x:v>
      </x:c>
      <x:c r="D20" s="67" t="n">
        <x:f>MAX(0,MIN(B20,'SOFR Inputs'!$J$7)-'SOFR Inputs'!$J$5)</x:f>
        <x:v>164</x:v>
      </x:c>
      <x:c r="E20" s="67" t="n">
        <x:f>MAX(0,MIN(B20,'SOFR Inputs'!$J$8)-'SOFR Inputs'!$J$7)</x:f>
        <x:v>574</x:v>
      </x:c>
      <x:c r="F20" s="67" t="n">
        <x:f>MAX(0,B20-'SOFR Inputs'!$J$8)</x:f>
        <x:v>0</x:v>
      </x:c>
      <x:c r="G20" s="66" t="n">
        <x:f>D20/365*'SOFR Inputs'!$J$10+E20/365*'SOFR Inputs'!$J$11+F20/365*'SOFR Inputs'!$J$12</x:f>
        <x:v>0.03232821917808219</x:v>
      </x:c>
      <x:c r="H20" s="38" t="n">
        <x:f>C20*EXP(-G20)</x:f>
        <x:v>0.8819737778790558</x:v>
      </x:c>
      <x:c r="I20" s="88" t="n">
        <x:f>'SOFR Inputs'!F20</x:f>
        <x:v>4.65375</x:v>
      </x:c>
      <x:c r="J20" s="88" t="n">
        <x:f>'Annual Grid'!N6</x:f>
        <x:v>4.654499176573771</x:v>
      </x:c>
      <x:c r="K20" s="88" t="n">
        <x:f>'Annual Grid'!O6</x:f>
        <x:v>6.315900311695772</x:v>
      </x:c>
      <x:c r="L20" s="89" t="n">
        <x:f>K20-J20</x:f>
        <x:v>1.6614011351220013</x:v>
      </x:c>
      <x:c r="M20" s="89" t="n">
        <x:f>I20+L20</x:f>
        <x:v>6.315151135122001</x:v>
      </x:c>
      <x:c r="N20" s="88" t="n">
        <x:f>(J20-I20)*100</x:f>
        <x:v>0.07491765737714928</x:v>
      </x:c>
    </x:row>
    <x:row r="21">
      <x:c r="A21" s="58" t="str">
        <x:f>'SOFR Inputs'!A21</x:f>
        <x:v>3Y</x:v>
      </x:c>
      <x:c r="B21" s="60" t="n">
        <x:f>'SOFR Inputs'!C21</x:f>
        <x:v>47402</x:v>
      </x:c>
      <x:c r="C21" s="72" t="n">
        <x:f>'SOFR Inputs'!D21</x:f>
        <x:v>0.868821222433314</x:v>
      </x:c>
      <x:c r="D21" s="67" t="n">
        <x:f>MAX(0,MIN(B21,'SOFR Inputs'!$J$7)-'SOFR Inputs'!$J$5)</x:f>
        <x:v>164</x:v>
      </x:c>
      <x:c r="E21" s="67" t="n">
        <x:f>MAX(0,MIN(B21,'SOFR Inputs'!$J$8)-'SOFR Inputs'!$J$7)</x:f>
        <x:v>938</x:v>
      </x:c>
      <x:c r="F21" s="67" t="n">
        <x:f>MAX(0,B21-'SOFR Inputs'!$J$8)</x:f>
        <x:v>0</x:v>
      </x:c>
      <x:c r="G21" s="66" t="n">
        <x:f>D21/365*'SOFR Inputs'!$J$10+E21/365*'SOFR Inputs'!$J$11+F21/365*'SOFR Inputs'!$J$12</x:f>
        <x:v>0.0493813698630137</x:v>
      </x:c>
      <x:c r="H21" s="38" t="n">
        <x:f>C21*EXP(-G21)</x:f>
        <x:v>0.8269597354161887</x:v>
      </x:c>
      <x:c r="I21" s="88" t="n">
        <x:f>'SOFR Inputs'!F21</x:f>
        <x:v>4.69875</x:v>
      </x:c>
      <x:c r="J21" s="88" t="n">
        <x:f>'Annual Grid'!N7</x:f>
        <x:v>4.699080993510276</x:v>
      </x:c>
      <x:c r="K21" s="88" t="n">
        <x:f>'Annual Grid'!O7</x:f>
        <x:v>6.397509326076308</x:v>
      </x:c>
      <x:c r="L21" s="89" t="n">
        <x:f>K21-J21</x:f>
        <x:v>1.6984283325660314</x:v>
      </x:c>
      <x:c r="M21" s="89" t="n">
        <x:f>I21+L21</x:f>
        <x:v>6.397178332566032</x:v>
      </x:c>
      <x:c r="N21" s="88" t="n">
        <x:f>(J21-I21)*100</x:f>
        <x:v>0.03309935102757677</x:v>
      </x:c>
    </x:row>
    <x:row r="22">
      <x:c r="A22" s="58" t="str">
        <x:f>'SOFR Inputs'!A22</x:f>
        <x:v>4Y</x:v>
      </x:c>
      <x:c r="B22" s="60" t="n">
        <x:f>'SOFR Inputs'!C22</x:f>
        <x:v>47765</x:v>
      </x:c>
      <x:c r="C22" s="72" t="n">
        <x:f>'SOFR Inputs'!D22</x:f>
        <x:v>0.829035646763959</x:v>
      </x:c>
      <x:c r="D22" s="67" t="n">
        <x:f>MAX(0,MIN(B22,'SOFR Inputs'!$J$7)-'SOFR Inputs'!$J$5)</x:f>
        <x:v>164</x:v>
      </x:c>
      <x:c r="E22" s="67" t="n">
        <x:f>MAX(0,MIN(B22,'SOFR Inputs'!$J$8)-'SOFR Inputs'!$J$7)</x:f>
        <x:v>1301</x:v>
      </x:c>
      <x:c r="F22" s="67" t="n">
        <x:f>MAX(0,B22-'SOFR Inputs'!$J$8)</x:f>
        <x:v>0</x:v>
      </x:c>
      <x:c r="G22" s="66" t="n">
        <x:f>D22/365*'SOFR Inputs'!$J$10+E22/365*'SOFR Inputs'!$J$11+F22/365*'SOFR Inputs'!$J$12</x:f>
        <x:v>0.06638767123287671</x:v>
      </x:c>
      <x:c r="H22" s="38" t="n">
        <x:f>C22*EXP(-G22)</x:f>
        <x:v>0.7757850486839278</x:v>
      </x:c>
      <x:c r="I22" s="88" t="n">
        <x:f>'SOFR Inputs'!F22</x:f>
        <x:v>4.71275</x:v>
      </x:c>
      <x:c r="J22" s="88" t="n">
        <x:f>'Annual Grid'!N8</x:f>
        <x:v>4.712989037916366</x:v>
      </x:c>
      <x:c r="K22" s="88" t="n">
        <x:f>'Annual Grid'!O8</x:f>
        <x:v>6.429961049613704</x:v>
      </x:c>
      <x:c r="L22" s="89" t="n">
        <x:f>K22-J22</x:f>
        <x:v>1.7169720116973375</x:v>
      </x:c>
      <x:c r="M22" s="89" t="n">
        <x:f>I22+L22</x:f>
        <x:v>6.429722011697337</x:v>
      </x:c>
      <x:c r="N22" s="88" t="n">
        <x:f>(J22-I22)*100</x:f>
        <x:v>0.023903791636659122</x:v>
      </x:c>
    </x:row>
    <x:row r="23">
      <x:c r="A23" s="58" t="str">
        <x:f>'SOFR Inputs'!A23</x:f>
        <x:v>5Y</x:v>
      </x:c>
      <x:c r="B23" s="60" t="n">
        <x:f>'SOFR Inputs'!C23</x:f>
        <x:v>48130</x:v>
      </x:c>
      <x:c r="C23" s="72" t="n">
        <x:f>'SOFR Inputs'!D23</x:f>
        <x:v>0.79063609098801</x:v>
      </x:c>
      <x:c r="D23" s="67" t="n">
        <x:f>MAX(0,MIN(B23,'SOFR Inputs'!$J$7)-'SOFR Inputs'!$J$5)</x:f>
        <x:v>164</x:v>
      </x:c>
      <x:c r="E23" s="67" t="n">
        <x:f>MAX(0,MIN(B23,'SOFR Inputs'!$J$8)-'SOFR Inputs'!$J$7)</x:f>
        <x:v>1666</x:v>
      </x:c>
      <x:c r="F23" s="67" t="n">
        <x:f>MAX(0,B23-'SOFR Inputs'!$J$8)</x:f>
        <x:v>0</x:v>
      </x:c>
      <x:c r="G23" s="66" t="n">
        <x:f>D23/365*'SOFR Inputs'!$J$10+E23/365*'SOFR Inputs'!$J$11+F23/365*'SOFR Inputs'!$J$12</x:f>
        <x:v>0.08348767123287672</x:v>
      </x:c>
      <x:c r="H23" s="38" t="n">
        <x:f>C23*EXP(-G23)</x:f>
        <x:v>0.7273080596568788</x:v>
      </x:c>
      <x:c r="I23" s="88" t="n">
        <x:f>'SOFR Inputs'!F23</x:f>
        <x:v>4.72675</x:v>
      </x:c>
      <x:c r="J23" s="88" t="n">
        <x:f>'Annual Grid'!N9</x:f>
        <x:v>4.726988870036841</x:v>
      </x:c>
      <x:c r="K23" s="88" t="n">
        <x:f>'Annual Grid'!O9</x:f>
        <x:v>6.45512290866366</x:v>
      </x:c>
      <x:c r="L23" s="89" t="n">
        <x:f>K23-J23</x:f>
        <x:v>1.728134038626819</x:v>
      </x:c>
      <x:c r="M23" s="89" t="n">
        <x:f>I23+L23</x:f>
        <x:v>6.454884038626819</x:v>
      </x:c>
      <x:c r="N23" s="88" t="n">
        <x:f>(J23-I23)*100</x:f>
        <x:v>0.02388700368411989</x:v>
      </x:c>
    </x:row>
    <x:row r="24">
      <x:c r="A24" s="58" t="str">
        <x:f>'SOFR Inputs'!A24</x:f>
        <x:v>6Y</x:v>
      </x:c>
      <x:c r="B24" s="60" t="n">
        <x:f>'SOFR Inputs'!C24</x:f>
        <x:v>48499</x:v>
      </x:c>
      <x:c r="C24" s="72" t="n">
        <x:f>'SOFR Inputs'!D24</x:f>
        <x:v>0.75311693457346</x:v>
      </x:c>
      <x:c r="D24" s="67" t="n">
        <x:f>MAX(0,MIN(B24,'SOFR Inputs'!$J$7)-'SOFR Inputs'!$J$5)</x:f>
        <x:v>164</x:v>
      </x:c>
      <x:c r="E24" s="67" t="n">
        <x:f>MAX(0,MIN(B24,'SOFR Inputs'!$J$8)-'SOFR Inputs'!$J$7)</x:f>
        <x:v>1827</x:v>
      </x:c>
      <x:c r="F24" s="67" t="n">
        <x:f>MAX(0,B24-'SOFR Inputs'!$J$8)</x:f>
        <x:v>208</x:v>
      </x:c>
      <x:c r="G24" s="66" t="n">
        <x:f>D24/365*'SOFR Inputs'!$J$10+E24/365*'SOFR Inputs'!$J$11+F24/365*'SOFR Inputs'!$J$12</x:f>
        <x:v>0.09963534246575342</x:v>
      </x:c>
      <x:c r="H24" s="38" t="n">
        <x:f>C24*EXP(-G24)</x:f>
        <x:v>0.6816969231588534</x:v>
      </x:c>
      <x:c r="I24" s="88" t="n">
        <x:f>'SOFR Inputs'!F24</x:f>
        <x:v>4.74625</x:v>
      </x:c>
      <x:c r="J24" s="88" t="n">
        <x:f>'Annual Grid'!N10</x:f>
        <x:v>4.746798605143213</x:v>
      </x:c>
      <x:c r="K24" s="88" t="n">
        <x:f>'Annual Grid'!O10</x:f>
        <x:v>6.465423278820091</x:v>
      </x:c>
      <x:c r="L24" s="89" t="n">
        <x:f>K24-J24</x:f>
        <x:v>1.718624673676878</x:v>
      </x:c>
      <x:c r="M24" s="89" t="n">
        <x:f>I24+L24</x:f>
        <x:v>6.464874673676878</x:v>
      </x:c>
      <x:c r="N24" s="88" t="n">
        <x:f>(J24-I24)*100</x:f>
        <x:v>0.054860514321308784</x:v>
      </x:c>
    </x:row>
    <x:row r="25">
      <x:c r="A25" s="58" t="str">
        <x:f>'SOFR Inputs'!A25</x:f>
        <x:v>7Y</x:v>
      </x:c>
      <x:c r="B25" s="60" t="n">
        <x:f>'SOFR Inputs'!C25</x:f>
        <x:v>48864</x:v>
      </x:c>
      <x:c r="C25" s="72" t="n">
        <x:f>'SOFR Inputs'!D25</x:f>
        <x:v>0.717321950748335</x:v>
      </x:c>
      <x:c r="D25" s="67" t="n">
        <x:f>MAX(0,MIN(B25,'SOFR Inputs'!$J$7)-'SOFR Inputs'!$J$5)</x:f>
        <x:v>164</x:v>
      </x:c>
      <x:c r="E25" s="67" t="n">
        <x:f>MAX(0,MIN(B25,'SOFR Inputs'!$J$8)-'SOFR Inputs'!$J$7)</x:f>
        <x:v>1827</x:v>
      </x:c>
      <x:c r="F25" s="67" t="n">
        <x:f>MAX(0,B25-'SOFR Inputs'!$J$8)</x:f>
        <x:v>573</x:v>
      </x:c>
      <x:c r="G25" s="66" t="n">
        <x:f>D25/365*'SOFR Inputs'!$J$10+E25/365*'SOFR Inputs'!$J$11+F25/365*'SOFR Inputs'!$J$12</x:f>
        <x:v>0.11473534246575343</x:v>
      </x:c>
      <x:c r="H25" s="38" t="n">
        <x:f>C25*EXP(-G25)</x:f>
        <x:v>0.6395657446744725</x:v>
      </x:c>
      <x:c r="I25" s="88" t="n">
        <x:f>'SOFR Inputs'!F25</x:f>
        <x:v>4.76775</x:v>
      </x:c>
      <x:c r="J25" s="88" t="n">
        <x:f>'Annual Grid'!N11</x:f>
        <x:v>4.7682755082690225</x:v>
      </x:c>
      <x:c r="K25" s="88" t="n">
        <x:f>'Annual Grid'!O11</x:f>
        <x:v>6.469127662032455</x:v>
      </x:c>
      <x:c r="L25" s="89" t="n">
        <x:f>K25-J25</x:f>
        <x:v>1.7008521537634325</x:v>
      </x:c>
      <x:c r="M25" s="89" t="n">
        <x:f>I25+L25</x:f>
        <x:v>6.468602153763433</x:v>
      </x:c>
      <x:c r="N25" s="88" t="n">
        <x:f>(J25-I25)*100</x:f>
        <x:v>0.052550826902209025</x:v>
      </x:c>
    </x:row>
    <x:row r="26">
      <x:c r="A26" s="58" t="str">
        <x:f>'SOFR Inputs'!A26</x:f>
        <x:v>8Y</x:v>
      </x:c>
      <x:c r="B26" s="60" t="n">
        <x:f>'SOFR Inputs'!C26</x:f>
        <x:v>49229</x:v>
      </x:c>
      <x:c r="C26" s="72" t="n">
        <x:f>'SOFR Inputs'!D26</x:f>
        <x:v>0.682840962289551</x:v>
      </x:c>
      <x:c r="D26" s="67" t="n">
        <x:f>MAX(0,MIN(B26,'SOFR Inputs'!$J$7)-'SOFR Inputs'!$J$5)</x:f>
        <x:v>164</x:v>
      </x:c>
      <x:c r="E26" s="67" t="n">
        <x:f>MAX(0,MIN(B26,'SOFR Inputs'!$J$8)-'SOFR Inputs'!$J$7)</x:f>
        <x:v>1827</x:v>
      </x:c>
      <x:c r="F26" s="67" t="n">
        <x:f>MAX(0,B26-'SOFR Inputs'!$J$8)</x:f>
        <x:v>938</x:v>
      </x:c>
      <x:c r="G26" s="66" t="n">
        <x:f>D26/365*'SOFR Inputs'!$J$10+E26/365*'SOFR Inputs'!$J$11+F26/365*'SOFR Inputs'!$J$12</x:f>
        <x:v>0.12983534246575343</x:v>
      </x:c>
      <x:c r="H26" s="38" t="n">
        <x:f>C26*EXP(-G26)</x:f>
        <x:v>0.5996982657404883</x:v>
      </x:c>
      <x:c r="I26" s="88" t="n">
        <x:f>'SOFR Inputs'!F26</x:f>
        <x:v>4.79025</x:v>
      </x:c>
      <x:c r="J26" s="88" t="n">
        <x:f>'Annual Grid'!N12</x:f>
        <x:v>4.790479432617172</x:v>
      </x:c>
      <x:c r="K26" s="88" t="n">
        <x:f>'Annual Grid'!O12</x:f>
        <x:v>6.477765512569612</x:v>
      </x:c>
      <x:c r="L26" s="89" t="n">
        <x:f>K26-J26</x:f>
        <x:v>1.6872860799524405</x:v>
      </x:c>
      <x:c r="M26" s="89" t="n">
        <x:f>I26+L26</x:f>
        <x:v>6.477536079952441</x:v>
      </x:c>
      <x:c r="N26" s="88" t="n">
        <x:f>(J26-I26)*100</x:f>
        <x:v>0.022943261717145447</x:v>
      </x:c>
    </x:row>
    <x:row r="27">
      <x:c r="A27" s="58" t="str">
        <x:f>'SOFR Inputs'!A27</x:f>
        <x:v>9Y</x:v>
      </x:c>
      <x:c r="B27" s="60" t="n">
        <x:f>'SOFR Inputs'!C27</x:f>
        <x:v>49593</x:v>
      </x:c>
      <x:c r="C27" s="72" t="n">
        <x:f>'SOFR Inputs'!D27</x:f>
        <x:v>0.649628438303405</x:v>
      </x:c>
      <x:c r="D27" s="67" t="n">
        <x:f>MAX(0,MIN(B27,'SOFR Inputs'!$J$7)-'SOFR Inputs'!$J$5)</x:f>
        <x:v>164</x:v>
      </x:c>
      <x:c r="E27" s="67" t="n">
        <x:f>MAX(0,MIN(B27,'SOFR Inputs'!$J$8)-'SOFR Inputs'!$J$7)</x:f>
        <x:v>1827</x:v>
      </x:c>
      <x:c r="F27" s="67" t="n">
        <x:f>MAX(0,B27-'SOFR Inputs'!$J$8)</x:f>
        <x:v>1302</x:v>
      </x:c>
      <x:c r="G27" s="66" t="n">
        <x:f>D27/365*'SOFR Inputs'!$J$10+E27/365*'SOFR Inputs'!$J$11+F27/365*'SOFR Inputs'!$J$12</x:f>
        <x:v>0.14489397260273973</x:v>
      </x:c>
      <x:c r="H27" s="38" t="n">
        <x:f>C27*EXP(-G27)</x:f>
        <x:v>0.5620026658922274</x:v>
      </x:c>
      <x:c r="I27" s="88" t="n">
        <x:f>'SOFR Inputs'!F27</x:f>
        <x:v>4.81425</x:v>
      </x:c>
      <x:c r="J27" s="88" t="n">
        <x:f>'Annual Grid'!N13</x:f>
        <x:v>4.814492100384607</x:v>
      </x:c>
      <x:c r="K27" s="88" t="n">
        <x:f>'Annual Grid'!O13</x:f>
        <x:v>6.490902336806472</x:v>
      </x:c>
      <x:c r="L27" s="89" t="n">
        <x:f>K27-J27</x:f>
        <x:v>1.676410236421865</x:v>
      </x:c>
      <x:c r="M27" s="89" t="n">
        <x:f>I27+L27</x:f>
        <x:v>6.490660236421865</x:v>
      </x:c>
      <x:c r="N27" s="88" t="n">
        <x:f>(J27-I27)*100</x:f>
        <x:v>0.024210038460648065</x:v>
      </x:c>
    </x:row>
    <x:row r="28">
      <x:c r="A28" s="58" t="str">
        <x:f>'SOFR Inputs'!A28</x:f>
        <x:v>10Y</x:v>
      </x:c>
      <x:c r="B28" s="60" t="n">
        <x:f>'SOFR Inputs'!C28</x:f>
        <x:v>49957</x:v>
      </x:c>
      <x:c r="C28" s="72" t="n">
        <x:f>'SOFR Inputs'!D28</x:f>
        <x:v>0.617439070757705</x:v>
      </x:c>
      <x:c r="D28" s="67" t="n">
        <x:f>MAX(0,MIN(B28,'SOFR Inputs'!$J$7)-'SOFR Inputs'!$J$5)</x:f>
        <x:v>164</x:v>
      </x:c>
      <x:c r="E28" s="67" t="n">
        <x:f>MAX(0,MIN(B28,'SOFR Inputs'!$J$8)-'SOFR Inputs'!$J$7)</x:f>
        <x:v>1827</x:v>
      </x:c>
      <x:c r="F28" s="67" t="n">
        <x:f>MAX(0,B28-'SOFR Inputs'!$J$8)</x:f>
        <x:v>1666</x:v>
      </x:c>
      <x:c r="G28" s="66" t="n">
        <x:f>D28/365*'SOFR Inputs'!$J$10+E28/365*'SOFR Inputs'!$J$11+F28/365*'SOFR Inputs'!$J$12</x:f>
        <x:v>0.15995260273972606</x:v>
      </x:c>
      <x:c r="H28" s="38" t="n">
        <x:f>C28*EXP(-G28)</x:f>
        <x:v>0.5261718077223536</x:v>
      </x:c>
      <x:c r="I28" s="88" t="n">
        <x:f>'SOFR Inputs'!F28</x:f>
        <x:v>4.84125</x:v>
      </x:c>
      <x:c r="J28" s="88" t="n">
        <x:f>'Annual Grid'!N14</x:f>
        <x:v>4.841495438368577</x:v>
      </x:c>
      <x:c r="K28" s="88" t="n">
        <x:f>'Annual Grid'!O14</x:f>
        <x:v>6.508744059365874</x:v>
      </x:c>
      <x:c r="L28" s="89" t="n">
        <x:f>K28-J28</x:f>
        <x:v>1.667248620997297</x:v>
      </x:c>
      <x:c r="M28" s="89" t="n">
        <x:f>I28+L28</x:f>
        <x:v>6.508498620997297</x:v>
      </x:c>
      <x:c r="N28" s="88" t="n">
        <x:f>(J28-I28)*100</x:f>
        <x:v>0.024543836857748857</x:v>
      </x:c>
    </x:row>
    <x:row r="29">
      <x:c r="A29" s="58" t="str">
        <x:f>'SOFR Inputs'!A29</x:f>
        <x:v>12Y</x:v>
      </x:c>
      <x:c r="B29" s="60" t="n">
        <x:f>'SOFR Inputs'!C29</x:f>
        <x:v>50690</x:v>
      </x:c>
      <x:c r="C29" s="72" t="n">
        <x:f>'SOFR Inputs'!D29</x:f>
        <x:v>0.556255351358886</x:v>
      </x:c>
      <x:c r="D29" s="67" t="n">
        <x:f>MAX(0,MIN(B29,'SOFR Inputs'!$J$7)-'SOFR Inputs'!$J$5)</x:f>
        <x:v>164</x:v>
      </x:c>
      <x:c r="E29" s="67" t="n">
        <x:f>MAX(0,MIN(B29,'SOFR Inputs'!$J$8)-'SOFR Inputs'!$J$7)</x:f>
        <x:v>1827</x:v>
      </x:c>
      <x:c r="F29" s="67" t="n">
        <x:f>MAX(0,B29-'SOFR Inputs'!$J$8)</x:f>
        <x:v>2399</x:v>
      </x:c>
      <x:c r="G29" s="66" t="n">
        <x:f>D29/365*'SOFR Inputs'!$J$10+E29/365*'SOFR Inputs'!$J$11+F29/365*'SOFR Inputs'!$J$12</x:f>
        <x:v>0.19027671232876714</x:v>
      </x:c>
      <x:c r="H29" s="38" t="n">
        <x:f>C29*EXP(-G29)</x:f>
        <x:v>0.4598731734265462</x:v>
      </x:c>
      <x:c r="I29" s="88" t="n">
        <x:f>'SOFR Inputs'!F29</x:f>
        <x:v>4.89475</x:v>
      </x:c>
      <x:c r="J29" s="88" t="n">
        <x:f>'Annual Grid'!N16</x:f>
        <x:v>4.8953655447837665</x:v>
      </x:c>
      <x:c r="K29" s="88" t="n">
        <x:f>'Annual Grid'!O16</x:f>
        <x:v>6.547940215379273</x:v>
      </x:c>
      <x:c r="L29" s="89" t="n">
        <x:f>K29-J29</x:f>
        <x:v>1.6525746705955067</x:v>
      </x:c>
      <x:c r="M29" s="89" t="n">
        <x:f>I29+L29</x:f>
        <x:v>6.547324670595507</x:v>
      </x:c>
      <x:c r="N29" s="88" t="n">
        <x:f>(J29-I29)*100</x:f>
        <x:v>0.0615544783766353</x:v>
      </x:c>
    </x:row>
    <x:row r="30">
      <x:c r="A30" s="58" t="str">
        <x:f>'SOFR Inputs'!A30</x:f>
        <x:v>15Y</x:v>
      </x:c>
      <x:c r="B30" s="60" t="n">
        <x:f>'SOFR Inputs'!C30</x:f>
        <x:v>51783</x:v>
      </x:c>
      <x:c r="C30" s="72" t="n">
        <x:f>'SOFR Inputs'!D30</x:f>
        <x:v>0.47479724631648</x:v>
      </x:c>
      <x:c r="D30" s="67" t="n">
        <x:f>MAX(0,MIN(B30,'SOFR Inputs'!$J$7)-'SOFR Inputs'!$J$5)</x:f>
        <x:v>164</x:v>
      </x:c>
      <x:c r="E30" s="67" t="n">
        <x:f>MAX(0,MIN(B30,'SOFR Inputs'!$J$8)-'SOFR Inputs'!$J$7)</x:f>
        <x:v>1827</x:v>
      </x:c>
      <x:c r="F30" s="67" t="n">
        <x:f>MAX(0,B30-'SOFR Inputs'!$J$8)</x:f>
        <x:v>3492</x:v>
      </x:c>
      <x:c r="G30" s="66" t="n">
        <x:f>D30/365*'SOFR Inputs'!$J$10+E30/365*'SOFR Inputs'!$J$11+F30/365*'SOFR Inputs'!$J$12</x:f>
        <x:v>0.23549397260273974</x:v>
      </x:c>
      <x:c r="H30" s="38" t="n">
        <x:f>C30*EXP(-G30)</x:f>
        <x:v>0.37517549022778846</x:v>
      </x:c>
      <x:c r="I30" s="88" t="n">
        <x:f>'SOFR Inputs'!F30</x:f>
        <x:v>4.96125</x:v>
      </x:c>
      <x:c r="J30" s="88" t="n">
        <x:f>'Annual Grid'!N19</x:f>
        <x:v>4.9614842964470895</x:v>
      </x:c>
      <x:c r="K30" s="88" t="n">
        <x:f>'Annual Grid'!O19</x:f>
        <x:v>6.598157992827685</x:v>
      </x:c>
      <x:c r="L30" s="89" t="n">
        <x:f>K30-J30</x:f>
        <x:v>1.636673696380595</x:v>
      </x:c>
      <x:c r="M30" s="89" t="n">
        <x:f>I30+L30</x:f>
        <x:v>6.597923696380595</x:v>
      </x:c>
      <x:c r="N30" s="88" t="n">
        <x:f>(J30-I30)*100</x:f>
        <x:v>0.023429644708983233</x:v>
      </x:c>
    </x:row>
    <x:row r="31">
      <x:c r="A31" s="58" t="str">
        <x:f>'SOFR Inputs'!A31</x:f>
        <x:v>20Y</x:v>
      </x:c>
      <x:c r="B31" s="60" t="n">
        <x:f>'SOFR Inputs'!C31</x:f>
        <x:v>53611</x:v>
      </x:c>
      <x:c r="C31" s="72" t="n">
        <x:f>'SOFR Inputs'!D31</x:f>
        <x:v>0.366492295400916</x:v>
      </x:c>
      <x:c r="D31" s="67" t="n">
        <x:f>MAX(0,MIN(B31,'SOFR Inputs'!$J$7)-'SOFR Inputs'!$J$5)</x:f>
        <x:v>164</x:v>
      </x:c>
      <x:c r="E31" s="67" t="n">
        <x:f>MAX(0,MIN(B31,'SOFR Inputs'!$J$8)-'SOFR Inputs'!$J$7)</x:f>
        <x:v>1827</x:v>
      </x:c>
      <x:c r="F31" s="67" t="n">
        <x:f>MAX(0,B31-'SOFR Inputs'!$J$8)</x:f>
        <x:v>5320</x:v>
      </x:c>
      <x:c r="G31" s="66" t="n">
        <x:f>D31/365*'SOFR Inputs'!$J$10+E31/365*'SOFR Inputs'!$J$11+F31/365*'SOFR Inputs'!$J$12</x:f>
        <x:v>0.31111808219178083</x:v>
      </x:c>
      <x:c r="H31" s="38" t="n">
        <x:f>C31*EXP(-G31)</x:f>
        <x:v>0.2685022830293836</x:v>
      </x:c>
      <x:c r="I31" s="88" t="n">
        <x:f>'SOFR Inputs'!F31</x:f>
        <x:v>5.00675</x:v>
      </x:c>
      <x:c r="J31" s="88" t="n">
        <x:f>'Annual Grid'!N24</x:f>
        <x:v>5.0059410028108084</x:v>
      </x:c>
      <x:c r="K31" s="88" t="n">
        <x:f>'Annual Grid'!O24</x:f>
        <x:v>6.628742479335563</x:v>
      </x:c>
      <x:c r="L31" s="89" t="n">
        <x:f>K31-J31</x:f>
        <x:v>1.6228014765247547</x:v>
      </x:c>
      <x:c r="M31" s="89" t="n">
        <x:f>I31+L31</x:f>
        <x:v>6.629551476524755</x:v>
      </x:c>
      <x:c r="N31" s="88" t="n">
        <x:f>(J31-I31)*100</x:f>
        <x:v>-0.08089971891918069</x:v>
      </x:c>
    </x:row>
    <x:row r="32">
      <x:c r="A32" s="58" t="str">
        <x:f>'SOFR Inputs'!A32</x:f>
        <x:v>25Y</x:v>
      </x:c>
      <x:c r="B32" s="60" t="n">
        <x:f>'SOFR Inputs'!C32</x:f>
        <x:v>55438</x:v>
      </x:c>
      <x:c r="C32" s="72" t="n">
        <x:f>'SOFR Inputs'!D32</x:f>
        <x:v>0.288491859787276</x:v>
      </x:c>
      <x:c r="D32" s="67" t="n">
        <x:f>MAX(0,MIN(B32,'SOFR Inputs'!$J$7)-'SOFR Inputs'!$J$5)</x:f>
        <x:v>164</x:v>
      </x:c>
      <x:c r="E32" s="67" t="n">
        <x:f>MAX(0,MIN(B32,'SOFR Inputs'!$J$8)-'SOFR Inputs'!$J$7)</x:f>
        <x:v>1827</x:v>
      </x:c>
      <x:c r="F32" s="67" t="n">
        <x:f>MAX(0,B32-'SOFR Inputs'!$J$8)</x:f>
        <x:v>7147</x:v>
      </x:c>
      <x:c r="G32" s="66" t="n">
        <x:f>D32/365*'SOFR Inputs'!$J$10+E32/365*'SOFR Inputs'!$J$11+F32/365*'SOFR Inputs'!$J$12</x:f>
        <x:v>0.38670082191780825</x:v>
      </x:c>
      <x:c r="H32" s="38" t="n">
        <x:f>C32*EXP(-G32)</x:f>
        <x:v>0.19597087436116045</x:v>
      </x:c>
      <x:c r="I32" s="88" t="n">
        <x:f>'SOFR Inputs'!F32</x:f>
        <x:v>4.98775</x:v>
      </x:c>
      <x:c r="J32" s="88" t="n">
        <x:f>'Annual Grid'!N29</x:f>
        <x:v>4.986042179543069</x:v>
      </x:c>
      <x:c r="K32" s="88" t="n">
        <x:f>'Annual Grid'!O29</x:f>
        <x:v>6.607850644616309</x:v>
      </x:c>
      <x:c r="L32" s="89" t="n">
        <x:f>K32-J32</x:f>
        <x:v>1.62180846507324</x:v>
      </x:c>
      <x:c r="M32" s="89" t="n">
        <x:f>I32+L32</x:f>
        <x:v>6.60955846507324</x:v>
      </x:c>
      <x:c r="N32" s="88" t="n">
        <x:f>(J32-I32)*100</x:f>
        <x:v>-0.17078204569314082</x:v>
      </x:c>
    </x:row>
    <x:row r="33">
      <x:c r="A33" s="58" t="str">
        <x:f>'SOFR Inputs'!A33</x:f>
        <x:v>30Y</x:v>
      </x:c>
      <x:c r="B33" s="60" t="n">
        <x:f>'SOFR Inputs'!C33</x:f>
        <x:v>57264</x:v>
      </x:c>
      <x:c r="C33" s="72" t="n">
        <x:f>'SOFR Inputs'!D33</x:f>
        <x:v>0.232117351579666</x:v>
      </x:c>
      <x:c r="D33" s="67" t="n">
        <x:f>MAX(0,MIN(B33,'SOFR Inputs'!$J$7)-'SOFR Inputs'!$J$5)</x:f>
        <x:v>164</x:v>
      </x:c>
      <x:c r="E33" s="67" t="n">
        <x:f>MAX(0,MIN(B33,'SOFR Inputs'!$J$8)-'SOFR Inputs'!$J$7)</x:f>
        <x:v>1827</x:v>
      </x:c>
      <x:c r="F33" s="67" t="n">
        <x:f>MAX(0,B33-'SOFR Inputs'!$J$8)</x:f>
        <x:v>8973</x:v>
      </x:c>
      <x:c r="G33" s="66" t="n">
        <x:f>D33/365*'SOFR Inputs'!$J$10+E33/365*'SOFR Inputs'!$J$11+F33/365*'SOFR Inputs'!$J$12</x:f>
        <x:v>0.46224219178082193</x:v>
      </x:c>
      <x:c r="H33" s="38" t="n">
        <x:f>C33*EXP(-G33)</x:f>
        <x:v>0.14620370335979008</x:v>
      </x:c>
      <x:c r="I33" s="88" t="n">
        <x:f>'SOFR Inputs'!F33</x:f>
        <x:v>4.93825</x:v>
      </x:c>
      <x:c r="J33" s="88" t="n">
        <x:f>'Annual Grid'!N34</x:f>
        <x:v>4.935993011831387</x:v>
      </x:c>
      <x:c r="K33" s="88" t="n">
        <x:f>'Annual Grid'!O34</x:f>
        <x:v>6.565413087953248</x:v>
      </x:c>
      <x:c r="L33" s="89" t="n">
        <x:f>K33-J33</x:f>
        <x:v>1.6294200761218605</x:v>
      </x:c>
      <x:c r="M33" s="89" t="n">
        <x:f>I33+L33</x:f>
        <x:v>6.5676700761218605</x:v>
      </x:c>
      <x:c r="N33" s="88" t="n">
        <x:f>(J33-I33)*100</x:f>
        <x:v>-0.22569881686127502</x:v>
      </x:c>
    </x:row>
    <x:row r="34">
      <x:c r="A34" s="58" t="str">
        <x:f>'SOFR Inputs'!A34</x:f>
        <x:v>40Y</x:v>
      </x:c>
      <x:c r="B34" s="60" t="n">
        <x:f>'SOFR Inputs'!C34</x:f>
        <x:v>60916</x:v>
      </x:c>
      <x:c r="C34" s="72" t="n">
        <x:f>'SOFR Inputs'!D34</x:f>
        <x:v>0.159813589980508</x:v>
      </x:c>
      <x:c r="D34" s="67" t="n">
        <x:f>MAX(0,MIN(B34,'SOFR Inputs'!$J$7)-'SOFR Inputs'!$J$5)</x:f>
        <x:v>164</x:v>
      </x:c>
      <x:c r="E34" s="67" t="n">
        <x:f>MAX(0,MIN(B34,'SOFR Inputs'!$J$8)-'SOFR Inputs'!$J$7)</x:f>
        <x:v>1827</x:v>
      </x:c>
      <x:c r="F34" s="67" t="n">
        <x:f>MAX(0,B34-'SOFR Inputs'!$J$8)</x:f>
        <x:v>12625</x:v>
      </x:c>
      <x:c r="G34" s="66" t="n">
        <x:f>D34/365*'SOFR Inputs'!$J$10+E34/365*'SOFR Inputs'!$J$11+F34/365*'SOFR Inputs'!$J$12</x:f>
        <x:v>0.6133249315068493</x:v>
      </x:c>
      <x:c r="H34" s="38" t="n">
        <x:f>C34*EXP(-G34)</x:f>
        <x:v>0.0865466125226507</x:v>
      </x:c>
      <x:c r="I34" s="88" t="n">
        <x:f>'SOFR Inputs'!F34</x:f>
        <x:v>4.81075</x:v>
      </x:c>
      <x:c r="J34" s="88" t="n">
        <x:f>'Annual Grid'!N44</x:f>
        <x:v>4.8049986629825705</x:v>
      </x:c>
      <x:c r="K34" s="88" t="n">
        <x:f>'Annual Grid'!O44</x:f>
        <x:v>6.465202895267352</x:v>
      </x:c>
      <x:c r="L34" s="89" t="n">
        <x:f>K34-J34</x:f>
        <x:v>1.6602042322847819</x:v>
      </x:c>
      <x:c r="M34" s="89" t="n">
        <x:f>I34+L34</x:f>
        <x:v>6.4709542322847815</x:v>
      </x:c>
      <x:c r="N34" s="88" t="n">
        <x:f>(J34-I34)*100</x:f>
        <x:v>-0.5751337017429137</x:v>
      </x:c>
    </x:row>
    <x:row r="35">
      <x:c r="A35" s="58" t="str">
        <x:f>'SOFR Inputs'!A35</x:f>
        <x:v>50Y</x:v>
      </x:c>
      <x:c r="B35" s="60" t="n">
        <x:f>'SOFR Inputs'!C35</x:f>
        <x:v>64567</x:v>
      </x:c>
      <x:c r="C35" s="72" t="n">
        <x:f>'SOFR Inputs'!D35</x:f>
        <x:v>0.119925597160553</x:v>
      </x:c>
      <x:c r="D35" s="67" t="n">
        <x:f>MAX(0,MIN(B35,'SOFR Inputs'!$J$7)-'SOFR Inputs'!$J$5)</x:f>
        <x:v>164</x:v>
      </x:c>
      <x:c r="E35" s="67" t="n">
        <x:f>MAX(0,MIN(B35,'SOFR Inputs'!$J$8)-'SOFR Inputs'!$J$7)</x:f>
        <x:v>1827</x:v>
      </x:c>
      <x:c r="F35" s="67" t="n">
        <x:f>MAX(0,B35-'SOFR Inputs'!$J$8)</x:f>
        <x:v>16276</x:v>
      </x:c>
      <x:c r="G35" s="66" t="n">
        <x:f>D35/365*'SOFR Inputs'!$J$10+E35/365*'SOFR Inputs'!$J$11+F35/365*'SOFR Inputs'!$J$12</x:f>
        <x:v>0.764366301369863</x:v>
      </x:c>
      <x:c r="H35" s="38" t="n">
        <x:f>C35*EXP(-G35)</x:f>
        <x:v>0.05584082459547158</x:v>
      </x:c>
      <x:c r="I35" s="88" t="n">
        <x:f>'SOFR Inputs'!F35</x:f>
        <x:v>4.67025</x:v>
      </x:c>
      <x:c r="J35" s="88" t="n">
        <x:f>'Annual Grid'!N54</x:f>
        <x:v>4.662763356924709</x:v>
      </x:c>
      <x:c r="K35" s="88" t="n">
        <x:f>'Annual Grid'!O54</x:f>
        <x:v>6.369099304486252</x:v>
      </x:c>
      <x:c r="L35" s="89" t="n">
        <x:f>K35-J35</x:f>
        <x:v>1.7063359475615423</x:v>
      </x:c>
      <x:c r="M35" s="89" t="n">
        <x:f>I35+L35</x:f>
        <x:v>6.3765859475615425</x:v>
      </x:c>
      <x:c r="N35" s="88" t="n">
        <x:f>(J35-I35)*100</x:f>
        <x:v>-0.74866430752909</x:v>
      </x:c>
    </x:row>
  </x:sheetData>
  <x:mergeCells>
    <x:mergeCell ref="A1:N1"/>
    <x:mergeCell ref="A2:N2"/>
  </x:mergeCells>
  <x:conditionalFormatting sqref="N5:N35">
    <x:cfRule type="expression" dxfId="0" priority="1">
      <x:formula>ABS(N5)&gt;1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24" hidden="0" customWidth="1"/>
    <x:col min="7" max="7" width="22" hidden="0" customWidth="1"/>
    <x:col min="8" max="8" width="16" hidden="0" customWidth="1"/>
  </x:cols>
  <x:sheetData>
    <x:row r="1">
      <x:c r="A1" s="3" t="str">
        <x:v>Funding Curve Calculation Summary</x:v>
      </x:c>
    </x:row>
    <x:row r="3">
      <x:c r="A3" s="16" t="str">
        <x:v>Transition</x:v>
      </x:c>
      <x:c r="B3" s="16" t="str">
        <x:v>Target Spread</x:v>
      </x:c>
      <x:c r="C3" s="16" t="str">
        <x:v>Base SOFR DF</x:v>
      </x:c>
      <x:c r="D3" s="16" t="str">
        <x:v>Target Funding DF</x:v>
      </x:c>
      <x:c r="F3" s="16" t="str">
        <x:v>Period</x:v>
      </x:c>
      <x:c r="G3" s="16" t="str">
        <x:v>Implied Forward Spread</x:v>
      </x:c>
      <x:c r="H3" s="16" t="str">
        <x:v>Expected</x:v>
      </x:c>
    </x:row>
    <x:row r="4">
      <x:c r="A4" t="str">
        <x:v>05-Oct-26 → 18-Mar-27</x:v>
      </x:c>
      <x:c r="B4" s="78" t="n">
        <x:v>0.0121</x:v>
      </x:c>
      <x:c r="C4" s="80" t="n">
        <x:v>0.9814742055610877</x:v>
      </x:c>
      <x:c r="D4" s="80" t="n">
        <x:v>0.9761526915255282</x:v>
      </x:c>
      <x:c r="F4" t="str">
        <x:v>Start → Mar-2027</x:v>
      </x:c>
      <x:c r="G4" s="26" t="n">
        <x:f>-(LN((D4/1)/(C4/1)))/((DATE(2027,3,18)-DATE(2026,10,5))/365)</x:f>
        <x:v>0.0121</x:v>
      </x:c>
      <x:c r="H4" s="26" t="n">
        <x:v>0.0121</x:v>
      </x:c>
    </x:row>
    <x:row r="5">
      <x:c r="A5" t="str">
        <x:v>18-Mar-27 → 18-Mar-32</x:v>
      </x:c>
      <x:c r="B5" s="78" t="n">
        <x:v>0.0171</x:v>
      </x:c>
      <x:c r="C5" s="80" t="n">
        <x:v>0.7740414126582139</x:v>
      </x:c>
      <x:c r="D5" s="80" t="n">
        <x:v>0.7066920272174518</x:v>
      </x:c>
      <x:c r="F5" t="str">
        <x:v>Mar-2027 → Mar-2032</x:v>
      </x:c>
      <x:c r="G5" s="26" t="n">
        <x:f>-(LN((D5/D4)/(C5/C4)))/((DATE(2032,3,18)-DATE(2027,3,18))/365)</x:f>
        <x:v>0.0171</x:v>
      </x:c>
      <x:c r="H5" s="26" t="n">
        <x:v>0.0171</x:v>
      </x:c>
    </x:row>
    <x:row r="6">
      <x:c r="A6" t="str">
        <x:v>18-Mar-32 → 18-Mar-52</x:v>
      </x:c>
      <x:c r="B6" s="78" t="n">
        <x:v>0.0151</x:v>
      </x:c>
      <x:c r="C6" s="80" t="n">
        <x:v>0.28311513108988956</x:v>
      </x:c>
      <x:c r="D6" s="80" t="n">
        <x:v>0.19106551472772393</x:v>
      </x:c>
      <x:c r="F6" t="str">
        <x:v>Mar-2032 → Mar-2052</x:v>
      </x:c>
      <x:c r="G6" s="26" t="n">
        <x:f>-(LN((D6/D5)/(C6/C5)))/((DATE(2052,3,18)-DATE(2032,3,18))/365)</x:f>
        <x:v>0.0151</x:v>
      </x:c>
      <x:c r="H6" s="26" t="n">
        <x:v>0.0151</x:v>
      </x:c>
    </x:row>
    <x:row r="9">
      <x:c r="A9" s="16" t="str">
        <x:v>Tenor</x:v>
      </x:c>
      <x:c r="B9" s="16" t="str">
        <x:v>Market Quote (%)</x:v>
      </x:c>
      <x:c r="C9" s="16" t="str">
        <x:v>Calculated Curve Spread (%)</x:v>
      </x:c>
      <x:c r="D9" s="16" t="str">
        <x:v>Target Quote (%)</x:v>
      </x:c>
      <x:c r="E9" s="16" t="str">
        <x:v>Control Error (bp)</x:v>
      </x:c>
    </x:row>
    <x:row r="10">
      <x:c r="A10" t="str">
        <x:v>6M</x:v>
      </x:c>
      <x:c r="B10" s="92" t="n">
        <x:f>'DF Method'!I13</x:f>
        <x:v>4.1779</x:v>
      </x:c>
      <x:c r="C10" s="92" t="n">
        <x:f>'DF Method'!L13</x:f>
        <x:v>1.283255629030558</x:v>
      </x:c>
      <x:c r="D10" s="92" t="n">
        <x:f>'DF Method'!M13</x:f>
        <x:v>5.461155629030558</x:v>
      </x:c>
      <x:c r="E10" s="92" t="n">
        <x:f>'DF Method'!N13</x:f>
        <x:v>0.33470260962102927</x:v>
      </x:c>
    </x:row>
    <x:row r="11">
      <x:c r="A11" t="str">
        <x:v>1Y</x:v>
      </x:c>
      <x:c r="B11" s="92" t="n">
        <x:f>'DF Method'!I19</x:f>
        <x:v>4.46945</x:v>
      </x:c>
      <x:c r="C11" s="92" t="n">
        <x:f>'DF Method'!L19</x:f>
        <x:v>1.5499937284441527</x:v>
      </x:c>
      <x:c r="D11" s="92" t="n">
        <x:f>'DF Method'!M19</x:f>
        <x:v>6.019443728444153</x:v>
      </x:c>
      <x:c r="E11" s="92" t="n">
        <x:f>'DF Method'!N19</x:f>
        <x:v>0.646718237522137</x:v>
      </x:c>
    </x:row>
    <x:row r="12">
      <x:c r="A12" t="str">
        <x:v>2Y</x:v>
      </x:c>
      <x:c r="B12" s="92" t="n">
        <x:f>'DF Method'!I20</x:f>
        <x:v>4.65375</x:v>
      </x:c>
      <x:c r="C12" s="92" t="n">
        <x:f>'DF Method'!L20</x:f>
        <x:v>1.6614011351220013</x:v>
      </x:c>
      <x:c r="D12" s="92" t="n">
        <x:f>'DF Method'!M20</x:f>
        <x:v>6.315151135122001</x:v>
      </x:c>
      <x:c r="E12" s="92" t="n">
        <x:f>'DF Method'!N20</x:f>
        <x:v>0.07491765737714928</x:v>
      </x:c>
    </x:row>
    <x:row r="13">
      <x:c r="A13" t="str">
        <x:v>5Y</x:v>
      </x:c>
      <x:c r="B13" s="92" t="n">
        <x:f>'DF Method'!I23</x:f>
        <x:v>4.72675</x:v>
      </x:c>
      <x:c r="C13" s="92" t="n">
        <x:f>'DF Method'!L23</x:f>
        <x:v>1.728134038626819</x:v>
      </x:c>
      <x:c r="D13" s="92" t="n">
        <x:f>'DF Method'!M23</x:f>
        <x:v>6.454884038626819</x:v>
      </x:c>
      <x:c r="E13" s="92" t="n">
        <x:f>'DF Method'!N23</x:f>
        <x:v>0.02388700368411989</x:v>
      </x:c>
    </x:row>
    <x:row r="14">
      <x:c r="A14" t="str">
        <x:v>6Y</x:v>
      </x:c>
      <x:c r="B14" s="92" t="n">
        <x:f>'DF Method'!I24</x:f>
        <x:v>4.74625</x:v>
      </x:c>
      <x:c r="C14" s="92" t="n">
        <x:f>'DF Method'!L24</x:f>
        <x:v>1.718624673676878</x:v>
      </x:c>
      <x:c r="D14" s="92" t="n">
        <x:f>'DF Method'!M24</x:f>
        <x:v>6.464874673676878</x:v>
      </x:c>
      <x:c r="E14" s="92" t="n">
        <x:f>'DF Method'!N24</x:f>
        <x:v>0.054860514321308784</x:v>
      </x:c>
    </x:row>
    <x:row r="15">
      <x:c r="A15" t="str">
        <x:v>10Y</x:v>
      </x:c>
      <x:c r="B15" s="92" t="n">
        <x:f>'DF Method'!I28</x:f>
        <x:v>4.84125</x:v>
      </x:c>
      <x:c r="C15" s="92" t="n">
        <x:f>'DF Method'!L28</x:f>
        <x:v>1.667248620997297</x:v>
      </x:c>
      <x:c r="D15" s="92" t="n">
        <x:f>'DF Method'!M28</x:f>
        <x:v>6.508498620997297</x:v>
      </x:c>
      <x:c r="E15" s="92" t="n">
        <x:f>'DF Method'!N28</x:f>
        <x:v>0.024543836857748857</x:v>
      </x:c>
    </x:row>
    <x:row r="16">
      <x:c r="A16" t="str">
        <x:v>20Y</x:v>
      </x:c>
      <x:c r="B16" s="92" t="n">
        <x:f>'DF Method'!I31</x:f>
        <x:v>5.00675</x:v>
      </x:c>
      <x:c r="C16" s="92" t="n">
        <x:f>'DF Method'!L31</x:f>
        <x:v>1.6228014765247547</x:v>
      </x:c>
      <x:c r="D16" s="92" t="n">
        <x:f>'DF Method'!M31</x:f>
        <x:v>6.629551476524755</x:v>
      </x:c>
      <x:c r="E16" s="92" t="n">
        <x:f>'DF Method'!N31</x:f>
        <x:v>-0.08089971891918069</x:v>
      </x:c>
    </x:row>
    <x:row r="17">
      <x:c r="A17" t="str">
        <x:v>30Y</x:v>
      </x:c>
      <x:c r="B17" s="92" t="n">
        <x:f>'DF Method'!I33</x:f>
        <x:v>4.93825</x:v>
      </x:c>
      <x:c r="C17" s="92" t="n">
        <x:f>'DF Method'!L33</x:f>
        <x:v>1.6294200761218605</x:v>
      </x:c>
      <x:c r="D17" s="92" t="n">
        <x:f>'DF Method'!M33</x:f>
        <x:v>6.5676700761218605</x:v>
      </x:c>
      <x:c r="E17" s="92" t="n">
        <x:f>'DF Method'!N33</x:f>
        <x:v>-0.22569881686127502</x:v>
      </x:c>
    </x:row>
    <x:row r="18">
      <x:c r="A18" t="str">
        <x:v>50Y</x:v>
      </x:c>
      <x:c r="B18" s="92" t="n">
        <x:f>'DF Method'!I35</x:f>
        <x:v>4.67025</x:v>
      </x:c>
      <x:c r="C18" s="92" t="n">
        <x:f>'DF Method'!L35</x:f>
        <x:v>1.7063359475615423</x:v>
      </x:c>
      <x:c r="D18" s="92" t="n">
        <x:f>'DF Method'!M35</x:f>
        <x:v>6.3765859475615425</x:v>
      </x:c>
      <x:c r="E18" s="92" t="n">
        <x:f>'DF Method'!N35</x:f>
        <x:v>-0.74866430752909</x:v>
      </x:c>
    </x:row>
    <x:row r="21">
      <x:c r="A21" s="83" t="str">
        <x:v>Important: this is a discount-factor-based conversion using the spread schedule supplied in the discussion. It does NOT use system MTM/PV for calibration. The par conversion uses annual ACT/360 fixed-leg payments and log-linear interpolation of missing annual SOFR DFs. The reconstructed base par quotes match the supplied curve very closely from 2Y–10Y; very short tenors and the far long end can differ slightly because exact production holiday/calendar and generator details were not provided.</x:v>
      </x:c>
    </x:row>
  </x:sheetData>
  <x:mergeCells>
    <x:mergeCell ref="A1:H1"/>
    <x:mergeCell ref="A21:H25"/>
  </x:mergeCells>
  <x:pageMargins left="0.7" right="0.7" top="0.75" bottom="0.75" header="0.3" footer="0.3"/>
</x:worksheet>
</file>