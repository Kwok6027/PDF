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5.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611bd8e47fe44c7" /></Relationships>
</file>

<file path=xl/workbook.xml><?xml version="1.0" encoding="utf-8"?>
<x:workbook xmlns:x="http://schemas.openxmlformats.org/spreadsheetml/2006/main">
  <x:sheets>
    <x:sheet xmlns:r="http://schemas.openxmlformats.org/officeDocument/2006/relationships" name="Price Input" sheetId="1" r:id="Rf09cbd88b0aa4a55"/>
    <x:sheet xmlns:r="http://schemas.openxmlformats.org/officeDocument/2006/relationships" name="Summit Replication" sheetId="2" r:id="R07577fea7c0949a8"/>
    <x:sheet xmlns:r="http://schemas.openxmlformats.org/officeDocument/2006/relationships" name="Correct Calculation" sheetId="3" r:id="R0b95edb17d8f4164"/>
    <x:sheet xmlns:r="http://schemas.openxmlformats.org/officeDocument/2006/relationships" name="Inputs" sheetId="4" r:id="R9869808d90194271"/>
    <x:sheet xmlns:r="http://schemas.openxmlformats.org/officeDocument/2006/relationships" name="Source Data" sheetId="5" r:id="R496424bc89f74be0"/>
    <x:sheet xmlns:r="http://schemas.openxmlformats.org/officeDocument/2006/relationships" name="Funding Detail" sheetId="6" r:id="R9471df7ac3fd4f72"/>
    <x:sheet xmlns:r="http://schemas.openxmlformats.org/officeDocument/2006/relationships" name="Price Sensitivity" sheetId="7" r:id="Ra03526f403804544"/>
    <x:sheet xmlns:r="http://schemas.openxmlformats.org/officeDocument/2006/relationships" name="Checks" sheetId="8" r:id="R847610ace15640ce"/>
    <x:sheet xmlns:r="http://schemas.openxmlformats.org/officeDocument/2006/relationships" name="Notes" sheetId="9" r:id="R24a115bbeb9f4719"/>
    <x:sheet xmlns:r="http://schemas.openxmlformats.org/officeDocument/2006/relationships" name="Original Images" sheetId="10" r:id="R0cae200083784810"/>
  </x:sheets>
</x:workbook>
</file>

<file path=xl/comments1.xml><?xml version="1.0" encoding="utf-8"?>
<x:comments xmlns:x="http://schemas.openxmlformats.org/spreadsheetml/2006/main">
  <x:authors>
    <x:author>tc={CC516448-2EEA-4243-8E1C-2AF0F283ED6A}</x:author>
  </x:authors>
  <x:commentList>
    <x:comment ref="C6" authorId="0">
      <x:text>
        <x:r>
          <x:t>[Threaded comment]
Your version of Excel allows you to read this threaded comment; however, any edits to it will get removed if the file is opened in a newer version of Excel. Learn more: https://go.microsoft.com/fwlink/?linkid=870924
Comment:
    User-provided EOD bond price for 4 August 2026, per 100 nominal. This is the single scenario input.</x:t>
        </x:r>
      </x:text>
    </x:comment>
  </x:commentList>
</x:comments>
</file>

<file path=xl/comments2.xml><?xml version="1.0" encoding="utf-8"?>
<x:comments xmlns:x="http://schemas.openxmlformats.org/spreadsheetml/2006/main">
  <x:authors>
    <x:author>tc={4E1A7772-1565-485A-BA28-3AA92954F546}</x:author>
  </x:authors>
  <x:commentList>
    <x:comment ref="B17" authorId="0">
      <x:text>
        <x:r>
          <x:t>[Threaded comment]
Your version of Excel allows you to read this threaded comment; however, any edits to it will get removed if the file is opened in a newer version of Excel. Learn more: https://go.microsoft.com/fwlink/?linkid=870924
Comment:
    Source-aligned closing balance reconstruction. The screenshot only supplies accrued funding and a zero MTM_LIBOR field; this is not proof of the independently discounted value of all remaining contractual cash flows.</x:t>
        </x:r>
      </x:text>
    </x:comment>
  </x:commentList>
</x:comments>
</file>

<file path=xl/comments3.xml><?xml version="1.0" encoding="utf-8"?>
<x:comments xmlns:x="http://schemas.openxmlformats.org/spreadsheetml/2006/main">
  <x:authors>
    <x:author>tc={C3C45C43-062E-400F-8E79-75C08D451681}</x:author>
    <x:author>tc={0B64B46A-23C1-40EE-91B6-647103607E8C}</x:author>
    <x:author>tc={7B7631D1-5B39-48F7-B4C5-9088076D11E8}</x:author>
    <x:author>tc={0536EC7D-E5E3-4431-A11A-DCAB47E12B79}</x:author>
    <x:author>tc={A5F87BA8-603F-4AA5-BF64-636F1585D667}</x:author>
    <x:author>tc={6FBF48B0-F636-4E05-8DAE-17F948E80B3A}</x:author>
    <x:author>tc={07EB00EF-0AE9-42B1-9AAE-B28FC92F8679}</x:author>
    <x:author>tc={B157D582-F557-40EC-9E59-68E0D9E7655E}</x:author>
    <x:author>tc={F1CF2F60-8997-446F-801C-D97DEBFCB0FC}</x:author>
    <x:author>tc={33963667-929E-4C98-A2B6-B56417E19808}</x:author>
    <x:author>tc={8E2AF3DE-0DAE-48EE-9429-5AFFF56C1BB8}</x:author>
    <x:author>tc={8BEC088E-6A33-4C07-8874-6D9646E13D4F}</x:author>
    <x:author>tc={9C7E7C13-ADD6-44EF-9D65-55FB9F4538F3}</x:author>
    <x:author>tc={94D75E02-B5EB-444D-988A-0207D1BA6402}</x:author>
    <x:author>tc={6EB584FC-13AC-4F81-B034-29E8BE99EF9C}</x:author>
    <x:author>tc={B4275453-B181-4569-944D-9CE1F93D2244}</x:author>
    <x:author>tc={4C4FA08A-A3A8-422D-BF6A-FD0FE03E871F}</x:author>
    <x:author>tc={3FAF6565-E368-44A0-975C-566D40B98760}</x:author>
    <x:author>tc={E4A795FB-90B8-4EEA-8949-EDDD5219F4FA}</x:author>
    <x:author>tc={59855A06-31B7-4D86-A0A3-BA4C8C70FD32}</x:author>
    <x:author>tc={57A56C6D-9557-4827-81AC-2CF71B1607C0}</x:author>
    <x:author>tc={800B1892-CC6F-43EA-8B5D-66B87A31A3A7}</x:author>
    <x:author>tc={80D16DF7-BBFF-4A1F-9C19-121DC14068E7}</x:author>
    <x:author>tc={29E5216D-971C-4998-8FC8-77FD9006A627}</x:author>
    <x:author>tc={5BB56FEB-1182-468E-90E8-F714B3C5D45E}</x:author>
    <x:author>tc={EC389209-203B-4708-815F-0CCEB168D091}</x:author>
    <x:author>tc={1139CF4B-5041-467C-B9F9-F105BCD48DFE}</x:author>
    <x:author>tc={EAB6C855-D26B-4E2F-BFB7-8F588F4E2E96}</x:author>
    <x:author>tc={1E079DD4-7BDB-46A0-84D6-E98D43C901FE}</x:author>
    <x:author>tc={F0B315EE-FFC1-4258-BB14-F298EB063FFE}</x:author>
    <x:author>tc={9250B03B-4933-48E5-8944-9522A23FF1A5}</x:author>
    <x:author>tc={47FBF84D-F186-4AEB-AF37-38C634EA5350}</x:author>
    <x:author>tc={9F8B1E5B-DE72-407E-94B0-F600C898B54A}</x:author>
    <x:author>tc={485CCFA1-D81F-409B-8FEB-98DA8BEA4908}</x:author>
    <x:author>tc={99F888DB-1851-475D-8F56-20FF8EF85942}</x:author>
    <x:author>tc={8FE7A71E-7B36-42E7-BF3B-629DFFD21028}</x:author>
    <x:author>tc={1EA346C7-91F9-4335-861B-852E861F3834}</x:author>
    <x:author>tc={59CF5857-B0F0-41F9-AACD-744EE2D08775}</x:author>
    <x:author>tc={B28AE230-94B1-472D-9452-B2B204FA0985}</x:author>
    <x:author>tc={83D0B43E-C2B0-4443-9BDB-BFEEF0E7BC3A}</x:author>
    <x:author>tc={5F9F9B18-9A8C-4298-A093-023995E1B7F8}</x:author>
    <x:author>tc={F66FFDE5-8A2D-4AF8-90A0-AFE02531B88F}</x:author>
    <x:author>tc={6BFF9641-33AB-400F-A47E-2C6471BF7F65}</x:author>
    <x:author>tc={90E39FFB-B944-4CB9-BD3C-80F7A35A5611}</x:author>
    <x:author>tc={70B797CB-CE8D-4679-8A38-BBE612672B81}</x:author>
    <x:author>tc={E30E63D4-41B4-4187-A292-1197E03C066B}</x:author>
    <x:author>tc={ED0B5F66-A9DD-4FE1-8D91-575FC78D2CEF}</x:author>
    <x:author>tc={78CACA3C-76EA-48E9-A40A-54D0A10960CD}</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TRS.xlsx / I05 / A; I17 / BT. Model is for this fixed valuation date.</x:t>
        </x:r>
      </x:text>
    </x:comment>
    <x:comment ref="B6" authorId="1">
      <x:text>
        <x:r>
          <x:t>[Threaded comment]
Your version of Excel allows you to read this threaded comment; however, any edits to it will get removed if the file is opened in a newer version of Excel. Learn more: https://go.microsoft.com/fwlink/?linkid=870924
Comment:
    TRS.xlsx / User instruction and I18 / B. Price Input!C6 is the scenario control.</x:t>
        </x:r>
      </x:text>
    </x:comment>
    <x:comment ref="B7" authorId="2">
      <x:text>
        <x:r>
          <x:t>[Threaded comment]
Your version of Excel allows you to read this threaded comment; however, any edits to it will get removed if the file is opened in a newer version of Excel. Learn more: https://go.microsoft.com/fwlink/?linkid=870924
Comment:
    TRS.xlsx / I03 / AB and I05 / T. SELL / pay total return.</x:t>
        </x:r>
      </x:text>
    </x:comment>
    <x:comment ref="B8" authorId="3">
      <x:text>
        <x:r>
          <x:t>[Threaded comment]
Your version of Excel allows you to read this threaded comment; however, any edits to it will get removed if the file is opened in a newer version of Excel. Learn more: https://go.microsoft.com/fwlink/?linkid=870924
Comment:
    TRS.xlsx / I03 / AH and I19, both swap legs.</x:t>
        </x:r>
      </x:text>
    </x:comment>
    <x:comment ref="B9" authorId="4">
      <x:text>
        <x:r>
          <x:t>[Threaded comment]
Your version of Excel allows you to read this threaded comment; however, any edits to it will get removed if the file is opened in a newer version of Excel. Learn more: https://go.microsoft.com/fwlink/?linkid=870924
Comment:
    TRS.xlsx / I01, I02 / S and I19: SOFR + 62.30 bp.</x:t>
        </x:r>
      </x:text>
    </x:comment>
    <x:comment ref="B10" authorId="5">
      <x:text>
        <x:r>
          <x:t>[Threaded comment]
Your version of Excel allows you to read this threaded comment; however, any edits to it will get removed if the file is opened in a newer version of Excel. Learn more: https://go.microsoft.com/fwlink/?linkid=870924
Comment:
    TRS.xlsx / I19: receive FIXED 4.3%; A360.</x:t>
        </x:r>
      </x:text>
    </x:comment>
    <x:comment ref="B11" authorId="6">
      <x:text>
        <x:r>
          <x:t>[Threaded comment]
Your version of Excel allows you to read this threaded comment; however, any edits to it will get removed if the file is opened in a newer version of Excel. Learn more: https://go.microsoft.com/fwlink/?linkid=870924
Comment:
    TRS.xlsx / I01 product description: SDBC 3.02, 2305 / 10Y.</x:t>
        </x:r>
      </x:text>
    </x:comment>
    <x:comment ref="B12" authorId="7">
      <x:text>
        <x:r>
          <x:t>[Threaded comment]
Your version of Excel allows you to read this threaded comment; however, any edits to it will get removed if the file is opened in a newer version of Excel. Learn more: https://go.microsoft.com/fwlink/?linkid=870924
Comment:
    TRS.xlsx / I02 in MM/DD/YYYY, confirmed by I06 in DD/MM/YYYY.</x:t>
        </x:r>
      </x:text>
    </x:comment>
    <x:comment ref="B13" authorId="8">
      <x:text>
        <x:r>
          <x:t>[Threaded comment]
Your version of Excel allows you to read this threaded comment; however, any edits to it will get removed if the file is opened in a newer version of Excel. Learn more: https://go.microsoft.com/fwlink/?linkid=870924
Comment:
    TRS.xlsx / I02 and I19: 11 June 2026.</x:t>
        </x:r>
      </x:text>
    </x:comment>
    <x:comment ref="B14" authorId="9">
      <x:text>
        <x:r>
          <x:t>[Threaded comment]
Your version of Excel allows you to read this threaded comment; however, any edits to it will get removed if the file is opened in a newer version of Excel. Learn more: https://go.microsoft.com/fwlink/?linkid=870924
Comment:
    TRS.xlsx / I02 and I19. The report swap row instead displays 22 September; see row 16.</x:t>
        </x:r>
      </x:text>
    </x:comment>
    <x:comment ref="B15" authorId="10">
      <x:text>
        <x:r>
          <x:t>[Threaded comment]
Your version of Excel allows you to read this threaded comment; however, any edits to it will get removed if the file is opened in a newer version of Excel. Learn more: https://go.microsoft.com/fwlink/?linkid=870924
Comment:
    TRS.xlsx / I01: 03/06/2033, read as 6 March. Coupon-date inference is corroborated by the reported accrued interest, not independently confirmed by a term sheet.</x:t>
        </x:r>
      </x:text>
    </x:comment>
    <x:comment ref="B16" authorId="11">
      <x:text>
        <x:r>
          <x:t>[Threaded comment]
Your version of Excel allows you to read this threaded comment; however, any edits to it will get removed if the file is opened in a newer version of Excel. Learn more: https://go.microsoft.com/fwlink/?linkid=870924
Comment:
    TRS.xlsx / I06 / AF, swap row. Preserve this discrepancy; supplied PV is used without repricing.</x:t>
        </x:r>
      </x:text>
    </x:comment>
    <x:comment ref="B19" authorId="12">
      <x:text>
        <x:r>
          <x:t>[Threaded comment]
Your version of Excel allows you to read this threaded comment; however, any edits to it will get removed if the file is opened in a newer version of Excel. Learn more: https://go.microsoft.com/fwlink/?linkid=870924
Comment:
    TRS.xlsx / I01 / I and product description.</x:t>
        </x:r>
      </x:text>
    </x:comment>
    <x:comment ref="B20" authorId="13">
      <x:text>
        <x:r>
          <x:t>[Threaded comment]
Your version of Excel allows you to read this threaded comment; however, any edits to it will get removed if the file is opened in a newer version of Excel. Learn more: https://go.microsoft.com/fwlink/?linkid=870924
Comment:
    TRS.xlsx / I18 / A.</x:t>
        </x:r>
      </x:text>
    </x:comment>
    <x:comment ref="B21" authorId="14">
      <x:text>
        <x:r>
          <x:t>[Threaded comment]
Your version of Excel allows you to read this threaded comment; however, any edits to it will get removed if the file is opened in a newer version of Excel. Learn more: https://go.microsoft.com/fwlink/?linkid=870924
Comment:
    TRS.xlsx / I01 / A-B.</x:t>
        </x:r>
      </x:text>
    </x:comment>
    <x:comment ref="B22" authorId="15">
      <x:text>
        <x:r>
          <x:t>[Threaded comment]
Your version of Excel allows you to read this threaded comment; however, any edits to it will get removed if the file is opened in a newer version of Excel. Learn more: https://go.microsoft.com/fwlink/?linkid=870924
Comment:
    TRS.xlsx / I05 / G; I19 ticket.</x:t>
        </x:r>
      </x:text>
    </x:comment>
    <x:comment ref="B25" authorId="16">
      <x:text>
        <x:r>
          <x:t>[Threaded comment]
Your version of Excel allows you to read this threaded comment; however, any edits to it will get removed if the file is opened in a newer version of Excel. Learn more: https://go.microsoft.com/fwlink/?linkid=870924
Comment:
    TRS.xlsx / Prices quoted per 100 face value; this is a unit conversion, not a market assumption.</x:t>
        </x:r>
      </x:text>
    </x:comment>
    <x:comment ref="B26" authorId="17">
      <x:text>
        <x:r>
          <x:t>[Threaded comment]
Your version of Excel allows you to read this threaded comment; however, any edits to it will get removed if the file is opened in a newer version of Excel. Learn more: https://go.microsoft.com/fwlink/?linkid=870924
Comment:
    TRS.xlsx / 10,000 basis points = 100%.</x:t>
        </x:r>
      </x:text>
    </x:comment>
    <x:comment ref="B27" authorId="18">
      <x:text>
        <x:r>
          <x:t>[Threaded comment]
Your version of Excel allows you to read this threaded comment; however, any edits to it will get removed if the file is opened in a newer version of Excel. Learn more: https://go.microsoft.com/fwlink/?linkid=870924
Comment:
    TRS.xlsx / I19 A360. TRS matching convention must be confirmed before independent funding mode.</x:t>
        </x:r>
      </x:text>
    </x:comment>
    <x:comment ref="B29" authorId="19">
      <x:text>
        <x:r>
          <x:t>[Threaded comment]
Your version of Excel allows you to read this threaded comment; however, any edits to it will get removed if the file is opened in a newer version of Excel. Learn more: https://go.microsoft.com/fwlink/?linkid=870924
Comment:
    TRS.xlsx / Rounding per-100 AI to five decimals exactly matches I04 AI_TR. This is an inference, not a confirmed contractual rule.</x:t>
        </x:r>
      </x:text>
    </x:comment>
    <x:comment ref="B30" authorId="20">
      <x:text>
        <x:r>
          <x:t>[Threaded comment]
Your version of Excel allows you to read this threaded comment; however, any edits to it will get removed if the file is opened in a newer version of Excel. Learn more: https://go.microsoft.com/fwlink/?linkid=870924
Comment:
    TRS.xlsx / CNY balance / translated USD balance implies 6.7527 CNY per USD.</x:t>
        </x:r>
      </x:text>
    </x:comment>
    <x:comment ref="B31" authorId="21">
      <x:text>
        <x:r>
          <x:t>[Threaded comment]
Your version of Excel allows you to read this threaded comment; however, any edits to it will get removed if the file is opened in a newer version of Excel. Learn more: https://go.microsoft.com/fwlink/?linkid=870924
Comment:
    TRS.xlsx / Report leg balances are shown to cents.</x:t>
        </x:r>
      </x:text>
    </x:comment>
    <x:comment ref="B32" authorId="22">
      <x:text>
        <x:r>
          <x:t>[Threaded comment]
Your version of Excel allows you to read this threaded comment; however, any edits to it will get removed if the file is opened in a newer version of Excel. Learn more: https://go.microsoft.com/fwlink/?linkid=870924
Comment:
    TRS.xlsx / Zero for formula guards and missing cash explicitly shown as zero.</x:t>
        </x:r>
      </x:text>
    </x:comment>
    <x:comment ref="B33" authorId="23">
      <x:text>
        <x:r>
          <x:t>[Threaded comment]
Your version of Excel allows you to read this threaded comment; however, any edits to it will get removed if the file is opened in a newer version of Excel. Learn more: https://go.microsoft.com/fwlink/?linkid=870924
Comment:
    TRS.xlsx / Unit for date progression and factor arithmetic.</x:t>
        </x:r>
      </x:text>
    </x:comment>
    <x:comment ref="B34" authorId="24">
      <x:text>
        <x:r>
          <x:t>[Threaded comment]
Your version of Excel allows you to read this threaded comment; however, any edits to it will get removed if the file is opened in a newer version of Excel. Learn more: https://go.microsoft.com/fwlink/?linkid=870924
Comment:
    TRS.xlsx / Analytical scenario control, not a historical market input.</x:t>
        </x:r>
      </x:text>
    </x:comment>
    <x:comment ref="B35" authorId="25">
      <x:text>
        <x:r>
          <x:t>[Threaded comment]
Your version of Excel allows you to read this threaded comment; however, any edits to it will get removed if the file is opened in a newer version of Excel. Learn more: https://go.microsoft.com/fwlink/?linkid=870924
Comment:
    TRS.xlsx / One-cent rounding tolerance.</x:t>
        </x:r>
      </x:text>
    </x:comment>
    <x:comment ref="B36" authorId="26">
      <x:text>
        <x:r>
          <x:t>[Threaded comment]
Your version of Excel allows you to read this threaded comment; however, any edits to it will get removed if the file is opened in a newer version of Excel. Learn more: https://go.microsoft.com/fwlink/?linkid=870924
Comment:
    TRS.xlsx / Allows rounding of the separately displayed source leg amounts and FX.</x:t>
        </x:r>
      </x:text>
    </x:comment>
    <x:comment ref="B53" authorId="27">
      <x:text>
        <x:r>
          <x:t>[Threaded comment]
Your version of Excel allows you to read this threaded comment; however, any edits to it will get removed if the file is opened in a newer version of Excel. Learn more: https://go.microsoft.com/fwlink/?linkid=870924
Comment:
    TRS.xlsx / Choose Simple average or Daily compounded only after checking the TRS confirmation, fixing lag, observation calendar and spread treatment.</x:t>
        </x:r>
      </x:text>
    </x:comment>
    <x:comment ref="B17" authorId="28">
      <x:text>
        <x:r>
          <x:t>[Threaded comment]
Your version of Excel allows you to read this threaded comment; however, any edits to it will get removed if the file is opened in a newer version of Excel. Learn more: https://go.microsoft.com/fwlink/?linkid=870924
Comment:
    I07 and I09. Use this provided value; no swap repricing.</x:t>
        </x:r>
      </x:text>
    </x:comment>
    <x:comment ref="B18" authorId="29">
      <x:text>
        <x:r>
          <x:t>[Threaded comment]
Your version of Excel allows you to read this threaded comment; however, any edits to it will get removed if the file is opened in a newer version of Excel. Learn more: https://go.microsoft.com/fwlink/?linkid=870924
Comment:
    I05. Already included in the supplied PV; do not add to package a second time.</x:t>
        </x:r>
      </x:text>
    </x:comment>
    <x:comment ref="B28" authorId="30">
      <x:text>
        <x:r>
          <x:t>[Threaded comment]
Your version of Excel allows you to read this threaded comment; however, any edits to it will get removed if the file is opened in a newer version of Excel. Learn more: https://go.microsoft.com/fwlink/?linkid=870924
Comment:
    Annual coupon period inferred from the bond maturity description and AI consistency.</x:t>
        </x:r>
      </x:text>
    </x:comment>
    <x:comment ref="B38" authorId="31">
      <x:text>
        <x:r>
          <x:t>[Threaded comment]
Your version of Excel allows you to read this threaded comment; however, any edits to it will get removed if the file is opened in a newer version of Excel. Learn more: https://go.microsoft.com/fwlink/?linkid=870924
Comment:
    Derived from matching CNY and USD BS rows. This is not an independently supplied FX quote.</x:t>
        </x:r>
      </x:text>
    </x:comment>
    <x:comment ref="B39" authorId="32">
      <x:text>
        <x:r>
          <x:t>[Threaded comment]
Your version of Excel allows you to read this threaded comment; however, any edits to it will get removed if the file is opened in a newer version of Excel. Learn more: https://go.microsoft.com/fwlink/?linkid=870924
Comment:
    Source AI_TR converted into per-100 units.</x:t>
        </x:r>
      </x:text>
    </x:comment>
    <x:comment ref="B40" authorId="33">
      <x:text>
        <x:r>
          <x:t>[Threaded comment]
Your version of Excel allows you to read this threaded comment; however, any edits to it will get removed if the file is opened in a newer version of Excel. Learn more: https://go.microsoft.com/fwlink/?linkid=870924
Comment:
    Nearest whole number of coupon-accrual days implied by the report.</x:t>
        </x:r>
      </x:text>
    </x:comment>
    <x:comment ref="B41" authorId="34">
      <x:text>
        <x:r>
          <x:t>[Threaded comment]
Your version of Excel allows you to read this threaded comment; however, any edits to it will get removed if the file is opened in a newer version of Excel. Learn more: https://go.microsoft.com/fwlink/?linkid=870924
Comment:
    6 March 2026; verify the actual bond schedule for independent valuation.</x:t>
        </x:r>
      </x:text>
    </x:comment>
    <x:comment ref="B42" authorId="35">
      <x:text>
        <x:r>
          <x:t>[Threaded comment]
Your version of Excel allows you to read this threaded comment; however, any edits to it will get removed if the file is opened in a newer version of Excel. Learn more: https://go.microsoft.com/fwlink/?linkid=870924
Comment:
    152 days imply 5 August, one day after the stated valuation date. This may be a settlement convention.</x:t>
        </x:r>
      </x:text>
    </x:comment>
    <x:comment ref="B43" authorId="36">
      <x:text>
        <x:r>
          <x:t>[Threaded comment]
Your version of Excel allows you to read this threaded comment; however, any edits to it will get removed if the file is opened in a newer version of Excel. Learn more: https://go.microsoft.com/fwlink/?linkid=870924
Comment:
    Report preserves this basis. The file also shows a strict 4-Aug comparison.</x:t>
        </x:r>
      </x:text>
    </x:comment>
    <x:comment ref="B44" authorId="37">
      <x:text>
        <x:r>
          <x:t>[Threaded comment]
Your version of Excel allows you to read this threaded comment; however, any edits to it will get removed if the file is opened in a newer version of Excel. Learn more: https://go.microsoft.com/fwlink/?linkid=870924
Comment:
    151 days from 6 March to 4 August.</x:t>
        </x:r>
      </x:text>
    </x:comment>
    <x:comment ref="B45" authorId="38">
      <x:text>
        <x:r>
          <x:t>[Threaded comment]
Your version of Excel allows you to read this threaded comment; however, any edits to it will get removed if the file is opened in a newer version of Excel. Learn more: https://go.microsoft.com/fwlink/?linkid=870924
Comment:
    55 days only if USD funding uses the same cut-off; not confirmed by the screenshots.</x:t>
        </x:r>
      </x:text>
    </x:comment>
    <x:comment ref="B46" authorId="39">
      <x:text>
        <x:r>
          <x:t>[Threaded comment]
Your version of Excel allows you to read this threaded comment; however, any edits to it will get removed if the file is opened in a newer version of Excel. Learn more: https://go.microsoft.com/fwlink/?linkid=870924
Comment:
    Historical SOFR fixings are absent. This is the material report anchor for funding.</x:t>
        </x:r>
      </x:text>
    </x:comment>
    <x:comment ref="B47" authorId="40">
      <x:text>
        <x:r>
          <x:t>[Threaded comment]
Your version of Excel allows you to read this threaded comment; however, any edits to it will get removed if the file is opened in a newer version of Excel. Learn more: https://go.microsoft.com/fwlink/?linkid=870924
Comment:
    Reverse-solved from reported accrual and inferred days; not an independently observed market rate.</x:t>
        </x:r>
      </x:text>
    </x:comment>
    <x:comment ref="B48" authorId="41">
      <x:text>
        <x:r>
          <x:t>[Threaded comment]
Your version of Excel allows you to read this threaded comment; however, any edits to it will get removed if the file is opened in a newer version of Excel. Learn more: https://go.microsoft.com/fwlink/?linkid=870924
Comment:
    Do not treat this averaged proxy as any daily fixing or use it as independent valuation evidence.</x:t>
        </x:r>
      </x:text>
    </x:comment>
    <x:comment ref="B49" authorId="42">
      <x:text>
        <x:r>
          <x:t>[Threaded comment]
Your version of Excel allows you to read this threaded comment; however, any edits to it will get removed if the file is opened in a newer version of Excel. Learn more: https://go.microsoft.com/fwlink/?linkid=870924
Comment:
    Observable reconciliation residual. Historical FX, ledger and adjustment history are needed to establish its cause.</x:t>
        </x:r>
      </x:text>
    </x:comment>
    <x:comment ref="B50" authorId="43">
      <x:text>
        <x:r>
          <x:t>[Threaded comment]
Your version of Excel allows you to read this threaded comment; however, any edits to it will get removed if the file is opened in a newer version of Excel. Learn more: https://go.microsoft.com/fwlink/?linkid=870924
Comment:
    Known TRS COF only; swap COF not supplied.</x:t>
        </x:r>
      </x:text>
    </x:comment>
    <x:comment ref="B54" authorId="44">
      <x:text>
        <x:r>
          <x:t>[Threaded comment]
Your version of Excel allows you to read this threaded comment; however, any edits to it will get removed if the file is opened in a newer version of Excel. Learn more: https://go.microsoft.com/fwlink/?linkid=870924
Comment:
    Initial link to inferred bond cut-off is only a scaffold for a future independent fixing calculation.</x:t>
        </x:r>
      </x:text>
    </x:comment>
    <x:comment ref="B55" authorId="45">
      <x:text>
        <x:r>
          <x:t>[Threaded comment]
Your version of Excel allows you to read this threaded comment; however, any edits to it will get removed if the file is opened in a newer version of Excel. Learn more: https://go.microsoft.com/fwlink/?linkid=870924
Comment:
    No intermediate cash is shown. Payment/reset schedule still needs confirmation.</x:t>
        </x:r>
      </x:text>
    </x:comment>
    <x:comment ref="B56" authorId="46">
      <x:text>
        <x:r>
          <x:t>[Threaded comment]
Your version of Excel allows you to read this threaded comment; however, any edits to it will get removed if the file is opened in a newer version of Excel. Learn more: https://go.microsoft.com/fwlink/?linkid=870924
Comment:
    Change only with a confirmed accrual convention.</x:t>
        </x:r>
      </x:text>
    </x:comment>
    <x:comment ref="B57" authorId="47">
      <x:text>
        <x:r>
          <x:t>[Threaded comment]
Your version of Excel allows you to read this threaded comment; however, any edits to it will get removed if the file is opened in a newer version of Excel. Learn more: https://go.microsoft.com/fwlink/?linkid=870924
Comment:
    Both supplied tickets are new in 2026. Assumes no novation, predecessor balance or off-ticket opening adjustment.</x:t>
        </x:r>
      </x:text>
    </x:comment>
  </x:commentList>
</x:comments>
</file>

<file path=xl/comments4.xml><?xml version="1.0" encoding="utf-8"?>
<x:comments xmlns:x="http://schemas.openxmlformats.org/spreadsheetml/2006/main">
  <x:authors>
    <x:author>tc={682C553F-A799-454B-996B-7CF7D91A478F}</x:author>
    <x:author>tc={30515FF3-6079-41C5-AA4E-159A0ED278B7}</x:author>
    <x:author>tc={B3E7B3FC-0D10-4B0D-91AF-6CB54FCDCEEC}</x:author>
    <x:author>tc={E08915A6-BB0E-4548-A725-359D30F93CBD}</x:author>
    <x:author>tc={D0495749-7D89-46CA-AFE3-FADD97AF1E34}</x:author>
    <x:author>tc={1CA4340D-491B-499D-89D0-311108C5DC75}</x:author>
    <x:author>tc={A0A7ECF1-0035-4BA3-8612-05C131DE75CF}</x:author>
    <x:author>tc={DDE07055-164D-4B3F-AFB7-E33D7F459202}</x:author>
    <x:author>tc={50E6C97C-AB49-42DD-B07E-23F797F27277}</x:author>
    <x:author>tc={B072DAF5-E731-46C4-A521-07F4B4AA54D9}</x:author>
    <x:author>tc={15052454-46E0-4A11-8AF9-A47058825CDF}</x:author>
    <x:author>tc={35EA67AF-FB9A-417D-8A1B-8656DE7A661A}</x:author>
    <x:author>tc={7C445CB5-16A7-4559-83D9-5DB1250EC95A}</x:author>
    <x:author>tc={0EDE26D1-1A06-4490-BCB4-5FCEE37FB1DF}</x:author>
    <x:author>tc={D6BBA9D6-0859-4D2D-87C0-F0D9B8BA4282}</x:author>
    <x:author>tc={9CF05061-36AC-4379-91B4-571A23B97503}</x:author>
    <x:author>tc={EE6CAE5E-3EA6-4DD7-8561-06A148AAE5CA}</x:author>
    <x:author>tc={456F80E6-83E0-496E-90C4-A7E3E288B630}</x:author>
    <x:author>tc={0F68C841-3AA2-4D8B-A2C2-6BCD9CDC629A}</x:author>
    <x:author>tc={AD8929CF-87B3-4A2A-B027-96C188F61D1A}</x:author>
    <x:author>tc={0C9154D0-7A22-44A0-A0BE-F6C3ABFB68A5}</x:author>
    <x:author>tc={94B5697F-8671-4106-B46A-F6A55A0338FB}</x:author>
    <x:author>tc={3763820A-BF63-4076-8391-C0971753971D}</x:author>
    <x:author>tc={68D57A89-E73D-459B-B06C-2867C02FBAB6}</x:author>
    <x:author>tc={9FE08BF9-CC77-4F99-A133-575CA05C9596}</x:author>
    <x:author>tc={BEBEAF5A-06FB-4F1D-9858-5EAEE4D8BC4F}</x:author>
    <x:author>tc={796B3D43-744C-4059-BC9D-04D3E615CCBB}</x:author>
    <x:author>tc={805134D4-C5E2-4F81-B816-D2B215BC0387}</x:author>
    <x:author>tc={1F2D7BEB-7CDD-494A-881F-DBA75FB08D35}</x:author>
    <x:author>tc={EC665022-ED93-48D2-86A3-592C1E733FEF}</x:author>
    <x:author>tc={9C778C75-BF57-4781-8BB6-F5F1A00CEB09}</x:author>
    <x:author>tc={5CAA875E-3210-4593-9D5D-53C441EB07AC}</x:author>
    <x:author>tc={465F4EEF-1B67-4B1E-9EA3-C1B6EB63F6B0}</x:author>
    <x:author>tc={78DB3A70-B219-43A0-A5B2-E00B9B0E33D5}</x:author>
    <x:author>tc={1E202F62-911C-4BCE-844B-E4A973A589C8}</x:author>
    <x:author>tc={06327E77-AC1C-4BF3-BEDF-450F3B37D82A}</x:author>
    <x:author>tc={3C2647A1-14EF-4BF7-8013-B0D5AE18EB91}</x:author>
    <x:author>tc={ADBB0531-9FFA-4E7B-BD5B-0BA2E4B254D6}</x:author>
    <x:author>tc={0CE69341-EB0B-488C-A99E-47B8D3C35764}</x:author>
    <x:author>tc={554C3492-996F-4874-B5CB-56CB4015E669}</x:author>
    <x:author>tc={DA930F2F-C96A-41D8-9529-860260A59210}</x:author>
    <x:author>tc={C9A77253-6C53-456D-8741-8898E1D8C743}</x:author>
    <x:author>tc={3A535644-891D-4031-8F1B-714C8ABA4747}</x:author>
    <x:author>tc={713F3B31-C551-4F9B-B565-E9BA57C591AB}</x:author>
    <x:author>tc={476D60F8-8944-413B-9EE9-B24888B7CD6B}</x:author>
    <x:author>tc={A1CCEBD8-5F89-457A-8F72-E1D16A95C3C3}</x:author>
    <x:author>tc={96D404D1-358F-4DE1-8666-CB0A6B921C47}</x:author>
    <x:author>tc={17A427CA-3DDE-48F5-9D63-8225339E1B13}</x:author>
    <x:author>tc={BDA77B4B-A529-49E3-877C-6A182C78F43B}</x:author>
    <x:author>tc={2048143D-0541-4296-9757-4F11975FA3FE}</x:author>
    <x:author>tc={E4353ECF-F63A-4F10-8AE1-7DA4F4E34D2A}</x:author>
    <x:author>tc={0D484FDB-7BFB-4EF9-BB51-490CB8925CC6}</x:author>
    <x:author>tc={72FFE042-2ADE-4010-AD1B-CDFACC5E7708}</x:author>
    <x:author>tc={0A8F8CF7-EC6F-4746-B39F-1427258D3342}</x:author>
    <x:author>tc={A142CCCB-F497-4D19-8FEA-324EB9EC7101}</x:author>
    <x:author>tc={4CD90D8A-CDF8-490D-ABE8-3EA50E5550DA}</x:author>
    <x:author>tc={34443048-EFA3-4D86-8534-75614D0B4095}</x:author>
    <x:author>tc={26BDEC10-53FF-4001-B949-5B82729711DD}</x:author>
    <x:author>tc={DB4A9827-AF07-4D2B-BE8F-3D9B920803BD}</x:author>
    <x:author>tc={47B8E4D2-4C71-4F87-B7F9-8D924652AA64}</x:author>
    <x:author>tc={09F0FF1C-2D2C-4230-9561-3F7669C89F2B}</x:author>
    <x:author>tc={58E891DE-71B3-4E53-874B-C5B2FEB28840}</x:author>
    <x:author>tc={D29E9BFB-A5E4-4B65-AF09-3C68DAE3F547}</x:author>
    <x:author>tc={12204C4E-D27B-480B-B99B-94934D1ECA40}</x:author>
    <x:author>tc={22B46086-1EB6-4FC6-B98F-CB5C2D53D6B1}</x:author>
    <x:author>tc={4073801B-003A-4F12-B249-03030E43DA08}</x:author>
    <x:author>tc={BD02B643-22B6-454E-928E-283641391F8D}</x:author>
    <x:author>tc={C20F3642-7113-4F4F-83C5-AF391CAC6F41}</x:author>
    <x:author>tc={DDC746A0-E19B-47EF-B47B-A9862148BA47}</x:author>
    <x:author>tc={2A76E545-900A-443C-908B-823AAA2BD596}</x:author>
    <x:author>tc={3D0C036A-5E32-4BDC-87AD-404C1E4BC036}</x:author>
    <x:author>tc={E50F384F-03BD-45CD-A34E-58DDF9DA35A1}</x:author>
    <x:author>tc={3E1B3A10-ADEA-4D4E-A6BB-1951A55B38D0}</x:author>
    <x:author>tc={CFC355C4-F867-4B9C-A2A3-244E27B47524}</x:author>
    <x:author>tc={61238DFD-6122-4625-BB1C-FB0905A9308E}</x:author>
    <x:author>tc={6AFE2C5D-D2DA-4186-8789-77C78CF10A06}</x:author>
    <x:author>tc={BA91E0F9-F97D-45A3-97C0-4870DBDB1BDE}</x:author>
    <x:author>tc={2DD8F943-BF0A-4261-BC37-EAE0C0971AD8}</x:author>
    <x:author>tc={B6CCCCD9-C002-4F99-812F-C474D2429E6B}</x:author>
    <x:author>tc={DE535B6C-B217-468A-A97E-75B31C887CD9}</x:author>
    <x:author>tc={009B2E80-8C34-4694-B908-3ECA6DBF6D33}</x:author>
    <x:author>tc={590AD5FD-7E26-466B-908B-8C7DB03F0947}</x:author>
    <x:author>tc={E835B9D7-345A-47AC-B409-AED98B1AF0C9}</x:author>
    <x:author>tc={42D02D15-DFE0-4E3B-933A-F24B3509F006}</x:author>
    <x:author>tc={68671BF8-9759-4B0D-8D72-C4DB77CB1F9D}</x:author>
    <x:author>tc={B544591D-B413-42A9-A500-F95C2780297F}</x:author>
    <x:author>tc={11DCEABA-2064-45E6-90D7-33019CB95970}</x:author>
    <x:author>tc={C2EC5898-588A-4AA8-B302-B7C3CD30356D}</x:author>
    <x:author>tc={F643941A-AEDA-45D0-AAA2-F90854362B84}</x:author>
    <x:author>tc={40C8D260-8552-4DD4-9D40-86153FA371A0}</x:author>
    <x:author>tc={BEFDC977-7EE1-4849-AB80-8DA5C7B4B587}</x:author>
    <x:author>tc={41605CB1-6F6A-4F17-9F43-A05C03619B7A}</x:author>
    <x:author>tc={FBD0382C-677E-4462-BF60-3CD0F6C08F92}</x:author>
    <x:author>tc={754DFEEA-77F4-49D0-9EC8-B4C17F7465A9}</x:author>
    <x:author>tc={7FE138AC-FECA-4A79-AD92-8EA12FA0A677}</x:author>
    <x:author>tc={59DD4297-5E04-41AB-BE6D-613DD06FAAC1}</x:author>
    <x:author>tc={6039DB87-61F3-4093-AAE5-271CED6C54B7}</x:author>
    <x:author>tc={209A8E9F-562F-4CE9-97C4-FCEA8790A81F}</x:author>
    <x:author>tc={2D06DF2D-52B6-4085-9A16-F54074AD0F49}</x:author>
    <x:author>tc={B377E2AC-54D4-4A5D-BFA5-75697EFEECB9}</x:author>
    <x:author>tc={BAD58926-1F3D-47F7-B1AE-040CB76B7070}</x:author>
    <x:author>tc={19ABA8D1-CE8E-4438-83C3-7858E403F148}</x:author>
    <x:author>tc={DE0F9B72-EA80-40F2-9853-47469E40AD5C}</x:author>
    <x:author>tc={4737CBA9-72E5-4C47-81D1-FADA5940D01E}</x:author>
    <x:author>tc={12BABED0-C9B5-47B4-BBB7-94E9DF6EC448}</x:author>
    <x:author>tc={81EB4F69-8E70-4D1D-B680-5C119F6F8DDF}</x:author>
    <x:author>tc={B5D67C7F-AD23-4860-8F2B-A8D82EB96FDA}</x:author>
    <x:author>tc={AF963779-9DA8-4EAE-8EB7-FB7C6993EE79}</x:author>
    <x:author>tc={14283FC5-BB43-4C88-A920-5F1612173B9F}</x:author>
    <x:author>tc={456973A3-2E27-4E3C-99F1-94AA2C4C487A}</x:author>
    <x:author>tc={DE0F711C-13F4-4C3C-A8FF-CF3862CA303A}</x:author>
    <x:author>tc={E6548DB5-08FA-4872-B0F7-E3299495DCEC}</x:author>
    <x:author>tc={A3DAE064-83F7-4019-918F-0F23B37FE22A}</x:author>
    <x:author>tc={7B654D1F-C6AD-4FBA-9CBB-6D939ED5E668}</x:author>
    <x:author>tc={0C21D4EB-090E-47AA-81F2-9D71822F9499}</x:author>
    <x:author>tc={53897F9E-0DDC-4010-AE4E-AEFF5663483E}</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TRS.xlsx, I05 / M; I04 / AJ-AK. Original Images uses I01–I19 in extraction order. Swap accrual is already within its supplied closing PV; do not add it again.</x:t>
        </x:r>
      </x:text>
    </x:comment>
    <x:comment ref="C5" authorId="1">
      <x:text>
        <x:r>
          <x:t>[Threaded comment]
Your version of Excel allows you to read this threaded comment; however, any edits to it will get removed if the file is opened in a newer version of Excel. Learn more: https://go.microsoft.com/fwlink/?linkid=870924
Comment:
    TRS.xlsx, I05 / M; I04 / AJ-AK. Original Images uses I01–I19 in extraction order. Swap accrual is already within its supplied closing PV; do not add it again.</x:t>
        </x:r>
      </x:text>
    </x:comment>
    <x:comment ref="D5" authorId="2">
      <x:text>
        <x:r>
          <x:t>[Threaded comment]
Your version of Excel allows you to read this threaded comment; however, any edits to it will get removed if the file is opened in a newer version of Excel. Learn more: https://go.microsoft.com/fwlink/?linkid=870924
Comment:
    TRS.xlsx, I05 / M; I04 / AJ-AK. Original Images uses I01–I19 in extraction order. Swap accrual is already within its supplied closing PV; do not add it again.</x:t>
        </x:r>
      </x:text>
    </x:comment>
    <x:comment ref="B6" authorId="3">
      <x:text>
        <x:r>
          <x:t>[Threaded comment]
Your version of Excel allows you to read this threaded comment; however, any edits to it will get removed if the file is opened in a newer version of Excel. Learn more: https://go.microsoft.com/fwlink/?linkid=870924
Comment:
    TRS.xlsx, I07 / AX-AZ. Original Images uses I01–I19 in extraction order. No BS adjustment is shown.</x:t>
        </x:r>
      </x:text>
    </x:comment>
    <x:comment ref="C6" authorId="4">
      <x:text>
        <x:r>
          <x:t>[Threaded comment]
Your version of Excel allows you to read this threaded comment; however, any edits to it will get removed if the file is opened in a newer version of Excel. Learn more: https://go.microsoft.com/fwlink/?linkid=870924
Comment:
    TRS.xlsx, I07 / AX-AZ. Original Images uses I01–I19 in extraction order. No BS adjustment is shown.</x:t>
        </x:r>
      </x:text>
    </x:comment>
    <x:comment ref="D6" authorId="5">
      <x:text>
        <x:r>
          <x:t>[Threaded comment]
Your version of Excel allows you to read this threaded comment; however, any edits to it will get removed if the file is opened in a newer version of Excel. Learn more: https://go.microsoft.com/fwlink/?linkid=870924
Comment:
    TRS.xlsx, I07 / AX-AZ. Original Images uses I01–I19 in extraction order. No BS adjustment is shown.</x:t>
        </x:r>
      </x:text>
    </x:comment>
    <x:comment ref="B7" authorId="6">
      <x:text>
        <x:r>
          <x:t>[Threaded comment]
Your version of Excel allows you to read this threaded comment; however, any edits to it will get removed if the file is opened in a newer version of Excel. Learn more: https://go.microsoft.com/fwlink/?linkid=870924
Comment:
    TRS.xlsx, I09 / CG-CI. Original Images uses I01–I19 in extraction order. Current translated closing values.</x:t>
        </x:r>
      </x:text>
    </x:comment>
    <x:comment ref="C7" authorId="7">
      <x:text>
        <x:r>
          <x:t>[Threaded comment]
Your version of Excel allows you to read this threaded comment; however, any edits to it will get removed if the file is opened in a newer version of Excel. Learn more: https://go.microsoft.com/fwlink/?linkid=870924
Comment:
    TRS.xlsx, I09 / CG-CI. Original Images uses I01–I19 in extraction order. Current translated closing values.</x:t>
        </x:r>
      </x:text>
    </x:comment>
    <x:comment ref="D7" authorId="8">
      <x:text>
        <x:r>
          <x:t>[Threaded comment]
Your version of Excel allows you to read this threaded comment; however, any edits to it will get removed if the file is opened in a newer version of Excel. Learn more: https://go.microsoft.com/fwlink/?linkid=870924
Comment:
    TRS.xlsx, I09 / CG-CI. Original Images uses I01–I19 in extraction order. Current translated closing values.</x:t>
        </x:r>
      </x:text>
    </x:comment>
    <x:comment ref="B8" authorId="9">
      <x:text>
        <x:r>
          <x:t>[Threaded comment]
Your version of Excel allows you to read this threaded comment; however, any edits to it will get removed if the file is opened in a newer version of Excel. Learn more: https://go.microsoft.com/fwlink/?linkid=870924
Comment:
    TRS.xlsx, I09 / BY-CA. Original Images uses I01–I19 in extraction order. Trade entered in June 2026.</x:t>
        </x:r>
      </x:text>
    </x:comment>
    <x:comment ref="C8" authorId="10">
      <x:text>
        <x:r>
          <x:t>[Threaded comment]
Your version of Excel allows you to read this threaded comment; however, any edits to it will get removed if the file is opened in a newer version of Excel. Learn more: https://go.microsoft.com/fwlink/?linkid=870924
Comment:
    TRS.xlsx, I09 / BY-CA. Original Images uses I01–I19 in extraction order. Trade entered in June 2026.</x:t>
        </x:r>
      </x:text>
    </x:comment>
    <x:comment ref="D8" authorId="11">
      <x:text>
        <x:r>
          <x:t>[Threaded comment]
Your version of Excel allows you to read this threaded comment; however, any edits to it will get removed if the file is opened in a newer version of Excel. Learn more: https://go.microsoft.com/fwlink/?linkid=870924
Comment:
    TRS.xlsx, I09 / BY-CA. Original Images uses I01–I19 in extraction order. Trade entered in June 2026.</x:t>
        </x:r>
      </x:text>
    </x:comment>
    <x:comment ref="B9" authorId="12">
      <x:text>
        <x:r>
          <x:t>[Threaded comment]
Your version of Excel allows you to read this threaded comment; however, any edits to it will get removed if the file is opened in a newer version of Excel. Learn more: https://go.microsoft.com/fwlink/?linkid=870924
Comment:
    TRS.xlsx, I09 / CB-CD. Original Images uses I01–I19 in extraction order. Primary YTD target for reconciliation.</x:t>
        </x:r>
      </x:text>
    </x:comment>
    <x:comment ref="C9" authorId="13">
      <x:text>
        <x:r>
          <x:t>[Threaded comment]
Your version of Excel allows you to read this threaded comment; however, any edits to it will get removed if the file is opened in a newer version of Excel. Learn more: https://go.microsoft.com/fwlink/?linkid=870924
Comment:
    TRS.xlsx, I09 / CB-CD. Original Images uses I01–I19 in extraction order. Primary YTD target for reconciliation.</x:t>
        </x:r>
      </x:text>
    </x:comment>
    <x:comment ref="D9" authorId="14">
      <x:text>
        <x:r>
          <x:t>[Threaded comment]
Your version of Excel allows you to read this threaded comment; however, any edits to it will get removed if the file is opened in a newer version of Excel. Learn more: https://go.microsoft.com/fwlink/?linkid=870924
Comment:
    TRS.xlsx, I09 / CB-CD. Original Images uses I01–I19 in extraction order. Primary YTD target for reconciliation.</x:t>
        </x:r>
      </x:text>
    </x:comment>
    <x:comment ref="B10" authorId="15">
      <x:text>
        <x:r>
          <x:t>[Threaded comment]
Your version of Excel allows you to read this threaded comment; however, any edits to it will get removed if the file is opened in a newer version of Excel. Learn more: https://go.microsoft.com/fwlink/?linkid=870924
Comment:
    TRS.xlsx, I07 / BG-BI. Original Images uses I01–I19 in extraction order. All three rows show zero.</x:t>
        </x:r>
      </x:text>
    </x:comment>
    <x:comment ref="C10" authorId="16">
      <x:text>
        <x:r>
          <x:t>[Threaded comment]
Your version of Excel allows you to read this threaded comment; however, any edits to it will get removed if the file is opened in a newer version of Excel. Learn more: https://go.microsoft.com/fwlink/?linkid=870924
Comment:
    TRS.xlsx, I07 / BG-BI. Original Images uses I01–I19 in extraction order. All three rows show zero.</x:t>
        </x:r>
      </x:text>
    </x:comment>
    <x:comment ref="D10" authorId="17">
      <x:text>
        <x:r>
          <x:t>[Threaded comment]
Your version of Excel allows you to read this threaded comment; however, any edits to it will get removed if the file is opened in a newer version of Excel. Learn more: https://go.microsoft.com/fwlink/?linkid=870924
Comment:
    TRS.xlsx, I07 / BG-BI. Original Images uses I01–I19 in extraction order. All three rows show zero.</x:t>
        </x:r>
      </x:text>
    </x:comment>
    <x:comment ref="B11" authorId="18">
      <x:text>
        <x:r>
          <x:t>[Threaded comment]
Your version of Excel allows you to read this threaded comment; however, any edits to it will get removed if the file is opened in a newer version of Excel. Learn more: https://go.microsoft.com/fwlink/?linkid=870924
Comment:
    TRS.xlsx, I08 / BJ-BL. Original Images uses I01–I19 in extraction order. TRS daily P&amp;L equals the change in the displayed opening / closing MTM in each currency.</x:t>
        </x:r>
      </x:text>
    </x:comment>
    <x:comment ref="C11" authorId="19">
      <x:text>
        <x:r>
          <x:t>[Threaded comment]
Your version of Excel allows you to read this threaded comment; however, any edits to it will get removed if the file is opened in a newer version of Excel. Learn more: https://go.microsoft.com/fwlink/?linkid=870924
Comment:
    TRS.xlsx, I08 / BJ-BL. Original Images uses I01–I19 in extraction order. TRS daily P&amp;L equals the change in the displayed opening / closing MTM in each currency.</x:t>
        </x:r>
      </x:text>
    </x:comment>
    <x:comment ref="D11" authorId="20">
      <x:text>
        <x:r>
          <x:t>[Threaded comment]
Your version of Excel allows you to read this threaded comment; however, any edits to it will get removed if the file is opened in a newer version of Excel. Learn more: https://go.microsoft.com/fwlink/?linkid=870924
Comment:
    TRS.xlsx, I08 / BJ-BL. Original Images uses I01–I19 in extraction order. TRS daily P&amp;L equals the change in the displayed opening / closing MTM in each currency.</x:t>
        </x:r>
      </x:text>
    </x:comment>
    <x:comment ref="B12" authorId="21">
      <x:text>
        <x:r>
          <x:t>[Threaded comment]
Your version of Excel allows you to read this threaded comment; however, any edits to it will get removed if the file is opened in a newer version of Excel. Learn more: https://go.microsoft.com/fwlink/?linkid=870924
Comment:
    TRS.xlsx, I08 / BM-BR. Original Images uses I01–I19 in extraction order. The three USD daily variants shown agree.</x:t>
        </x:r>
      </x:text>
    </x:comment>
    <x:comment ref="C12" authorId="22">
      <x:text>
        <x:r>
          <x:t>[Threaded comment]
Your version of Excel allows you to read this threaded comment; however, any edits to it will get removed if the file is opened in a newer version of Excel. Learn more: https://go.microsoft.com/fwlink/?linkid=870924
Comment:
    TRS.xlsx, I08 / BM-BR. Original Images uses I01–I19 in extraction order. The three USD daily variants shown agree.</x:t>
        </x:r>
      </x:text>
    </x:comment>
    <x:comment ref="D12" authorId="23">
      <x:text>
        <x:r>
          <x:t>[Threaded comment]
Your version of Excel allows you to read this threaded comment; however, any edits to it will get removed if the file is opened in a newer version of Excel. Learn more: https://go.microsoft.com/fwlink/?linkid=870924
Comment:
    TRS.xlsx, I08 / BM-BR. Original Images uses I01–I19 in extraction order. The three USD daily variants shown agree.</x:t>
        </x:r>
      </x:text>
    </x:comment>
    <x:comment ref="B13" authorId="24">
      <x:text>
        <x:r>
          <x:t>[Threaded comment]
Your version of Excel allows you to read this threaded comment; however, any edits to it will get removed if the file is opened in a newer version of Excel. Learn more: https://go.microsoft.com/fwlink/?linkid=870924
Comment:
    TRS.xlsx, I08 / BS-BU. Original Images uses I01–I19 in extraction order. </x:t>
        </x:r>
      </x:text>
    </x:comment>
    <x:comment ref="C13" authorId="25">
      <x:text>
        <x:r>
          <x:t>[Threaded comment]
Your version of Excel allows you to read this threaded comment; however, any edits to it will get removed if the file is opened in a newer version of Excel. Learn more: https://go.microsoft.com/fwlink/?linkid=870924
Comment:
    TRS.xlsx, I08 / BS-BU. Original Images uses I01–I19 in extraction order. </x:t>
        </x:r>
      </x:text>
    </x:comment>
    <x:comment ref="D13" authorId="26">
      <x:text>
        <x:r>
          <x:t>[Threaded comment]
Your version of Excel allows you to read this threaded comment; however, any edits to it will get removed if the file is opened in a newer version of Excel. Learn more: https://go.microsoft.com/fwlink/?linkid=870924
Comment:
    TRS.xlsx, I08 / BS-BU. Original Images uses I01–I19 in extraction order. </x:t>
        </x:r>
      </x:text>
    </x:comment>
    <x:comment ref="B14" authorId="27">
      <x:text>
        <x:r>
          <x:t>[Threaded comment]
Your version of Excel allows you to read this threaded comment; however, any edits to it will get removed if the file is opened in a newer version of Excel. Learn more: https://go.microsoft.com/fwlink/?linkid=870924
Comment:
    TRS.xlsx, I08 / BV-BX. Original Images uses I01–I19 in extraction order. </x:t>
        </x:r>
      </x:text>
    </x:comment>
    <x:comment ref="C14" authorId="28">
      <x:text>
        <x:r>
          <x:t>[Threaded comment]
Your version of Excel allows you to read this threaded comment; however, any edits to it will get removed if the file is opened in a newer version of Excel. Learn more: https://go.microsoft.com/fwlink/?linkid=870924
Comment:
    TRS.xlsx, I08 / BV-BX. Original Images uses I01–I19 in extraction order. </x:t>
        </x:r>
      </x:text>
    </x:comment>
    <x:comment ref="D14" authorId="29">
      <x:text>
        <x:r>
          <x:t>[Threaded comment]
Your version of Excel allows you to read this threaded comment; however, any edits to it will get removed if the file is opened in a newer version of Excel. Learn more: https://go.microsoft.com/fwlink/?linkid=870924
Comment:
    TRS.xlsx, I08 / BV-BX. Original Images uses I01–I19 in extraction order. </x:t>
        </x:r>
      </x:text>
    </x:comment>
    <x:comment ref="B15" authorId="30">
      <x:text>
        <x:r>
          <x:t>[Threaded comment]
Your version of Excel allows you to read this threaded comment; however, any edits to it will get removed if the file is opened in a newer version of Excel. Learn more: https://go.microsoft.com/fwlink/?linkid=870924
Comment:
    TRS.xlsx, I04 / AL. Original Images uses I01–I19 in extraction order. Signed nominal times clean bond price / 100.</x:t>
        </x:r>
      </x:text>
    </x:comment>
    <x:comment ref="B16" authorId="31">
      <x:text>
        <x:r>
          <x:t>[Threaded comment]
Your version of Excel allows you to read this threaded comment; however, any edits to it will get removed if the file is opened in a newer version of Excel. Learn more: https://go.microsoft.com/fwlink/?linkid=870924
Comment:
    TRS.xlsx, I01 currency + I03 / AD. Original Images uses I01–I19 in extraction order. Native currency is CNY. It is not a USD NPV.</x:t>
        </x:r>
      </x:text>
    </x:comment>
    <x:comment ref="B17" authorId="32">
      <x:text>
        <x:r>
          <x:t>[Threaded comment]
Your version of Excel allows you to read this threaded comment; however, any edits to it will get removed if the file is opened in a newer version of Excel. Learn more: https://go.microsoft.com/fwlink/?linkid=870924
Comment:
    TRS.xlsx, I03 / AF. Original Images uses I01–I19 in extraction order. CNY bond accrual plus USD funding accrual translated to CNY.</x:t>
        </x:r>
      </x:text>
    </x:comment>
    <x:comment ref="C18" authorId="33">
      <x:text>
        <x:r>
          <x:t>[Threaded comment]
Your version of Excel allows you to read this threaded comment; however, any edits to it will get removed if the file is opened in a newer version of Excel. Learn more: https://go.microsoft.com/fwlink/?linkid=870924
Comment:
    TRS.xlsx, I04 / AJ, AO; I15 / BE. Original Images uses I01–I19 in extraction order. Observed accrued funding. SOFR fixing history is not supplied.</x:t>
        </x:r>
      </x:text>
    </x:comment>
    <x:comment ref="C19" authorId="34">
      <x:text>
        <x:r>
          <x:t>[Threaded comment]
Your version of Excel allows you to read this threaded comment; however, any edits to it will get removed if the file is opened in a newer version of Excel. Learn more: https://go.microsoft.com/fwlink/?linkid=870924
Comment:
    TRS.xlsx, I04 / AN. Original Images uses I01–I19 in extraction order. The source shows zero; no independently observed forward curve is supplied.</x:t>
        </x:r>
      </x:text>
    </x:comment>
    <x:comment ref="B20" authorId="35">
      <x:text>
        <x:r>
          <x:t>[Threaded comment]
Your version of Excel allows you to read this threaded comment; however, any edits to it will get removed if the file is opened in a newer version of Excel. Learn more: https://go.microsoft.com/fwlink/?linkid=870924
Comment:
    TRS.xlsx, I04 / AM. Original Images uses I01–I19 in extraction order. Zero as displayed.</x:t>
        </x:r>
      </x:text>
    </x:comment>
    <x:comment ref="C21" authorId="36">
      <x:text>
        <x:r>
          <x:t>[Threaded comment]
Your version of Excel allows you to read this threaded comment; however, any edits to it will get removed if the file is opened in a newer version of Excel. Learn more: https://go.microsoft.com/fwlink/?linkid=870924
Comment:
    TRS.xlsx, I04 / AP. Original Images uses I01–I19 in extraction order. Zero as displayed.</x:t>
        </x:r>
      </x:text>
    </x:comment>
    <x:comment ref="C22" authorId="37">
      <x:text>
        <x:r>
          <x:t>[Threaded comment]
Your version of Excel allows you to read this threaded comment; however, any edits to it will get removed if the file is opened in a newer version of Excel. Learn more: https://go.microsoft.com/fwlink/?linkid=870924
Comment:
    TRS.xlsx, I04 / AQ. Original Images uses I01–I19 in extraction order. Zero as displayed.</x:t>
        </x:r>
      </x:text>
    </x:comment>
    <x:comment ref="C23" authorId="38">
      <x:text>
        <x:r>
          <x:t>[Threaded comment]
Your version of Excel allows you to read this threaded comment; however, any edits to it will get removed if the file is opened in a newer version of Excel. Learn more: https://go.microsoft.com/fwlink/?linkid=870924
Comment:
    TRS.xlsx, I04 / AT. Original Images uses I01–I19 in extraction order. Funding notional still appears in the USD balance; confirm legal principal-exchange terms.</x:t>
        </x:r>
      </x:text>
    </x:comment>
    <x:comment ref="B24" authorId="39">
      <x:text>
        <x:r>
          <x:t>[Threaded comment]
Your version of Excel allows you to read this threaded comment; however, any edits to it will get removed if the file is opened in a newer version of Excel. Learn more: https://go.microsoft.com/fwlink/?linkid=870924
Comment:
    TRS.xlsx, I10 / R. Original Images uses I01–I19 in extraction order. Closing minus opening reconciles to the displayed daily P&amp;L.</x:t>
        </x:r>
      </x:text>
    </x:comment>
    <x:comment ref="C24" authorId="40">
      <x:text>
        <x:r>
          <x:t>[Threaded comment]
Your version of Excel allows you to read this threaded comment; however, any edits to it will get removed if the file is opened in a newer version of Excel. Learn more: https://go.microsoft.com/fwlink/?linkid=870924
Comment:
    TRS.xlsx, I10 / R. Original Images uses I01–I19 in extraction order. Closing minus opening reconciles to the displayed daily P&amp;L.</x:t>
        </x:r>
      </x:text>
    </x:comment>
    <x:comment ref="B25" authorId="41">
      <x:text>
        <x:r>
          <x:t>[Threaded comment]
Your version of Excel allows you to read this threaded comment; however, any edits to it will get removed if the file is opened in a newer version of Excel. Learn more: https://go.microsoft.com/fwlink/?linkid=870924
Comment:
    TRS.xlsx, I10 / S. Original Images uses I01–I19 in extraction order. Matches the main BS table.</x:t>
        </x:r>
      </x:text>
    </x:comment>
    <x:comment ref="C25" authorId="42">
      <x:text>
        <x:r>
          <x:t>[Threaded comment]
Your version of Excel allows you to read this threaded comment; however, any edits to it will get removed if the file is opened in a newer version of Excel. Learn more: https://go.microsoft.com/fwlink/?linkid=870924
Comment:
    TRS.xlsx, I10 / S. Original Images uses I01–I19 in extraction order. Matches the main BS table.</x:t>
        </x:r>
      </x:text>
    </x:comment>
    <x:comment ref="B26" authorId="43">
      <x:text>
        <x:r>
          <x:t>[Threaded comment]
Your version of Excel allows you to read this threaded comment; however, any edits to it will get removed if the file is opened in a newer version of Excel. Learn more: https://go.microsoft.com/fwlink/?linkid=870924
Comment:
    TRS.xlsx, I11 / V. Original Images uses I01–I19 in extraction order. </x:t>
        </x:r>
      </x:text>
    </x:comment>
    <x:comment ref="C26" authorId="44">
      <x:text>
        <x:r>
          <x:t>[Threaded comment]
Your version of Excel allows you to read this threaded comment; however, any edits to it will get removed if the file is opened in a newer version of Excel. Learn more: https://go.microsoft.com/fwlink/?linkid=870924
Comment:
    TRS.xlsx, I11 / V. Original Images uses I01–I19 in extraction order. </x:t>
        </x:r>
      </x:text>
    </x:comment>
    <x:comment ref="B27" authorId="45">
      <x:text>
        <x:r>
          <x:t>[Threaded comment]
Your version of Excel allows you to read this threaded comment; however, any edits to it will get removed if the file is opened in a newer version of Excel. Learn more: https://go.microsoft.com/fwlink/?linkid=870924
Comment:
    TRS.xlsx, I11 / W. Original Images uses I01–I19 in extraction order. </x:t>
        </x:r>
      </x:text>
    </x:comment>
    <x:comment ref="C27" authorId="46">
      <x:text>
        <x:r>
          <x:t>[Threaded comment]
Your version of Excel allows you to read this threaded comment; however, any edits to it will get removed if the file is opened in a newer version of Excel. Learn more: https://go.microsoft.com/fwlink/?linkid=870924
Comment:
    TRS.xlsx, I11 / W. Original Images uses I01–I19 in extraction order. </x:t>
        </x:r>
      </x:text>
    </x:comment>
    <x:comment ref="B28" authorId="47">
      <x:text>
        <x:r>
          <x:t>[Threaded comment]
Your version of Excel allows you to read this threaded comment; however, any edits to it will get removed if the file is opened in a newer version of Excel. Learn more: https://go.microsoft.com/fwlink/?linkid=870924
Comment:
    TRS.xlsx, I11 / X. Original Images uses I01–I19 in extraction order. </x:t>
        </x:r>
      </x:text>
    </x:comment>
    <x:comment ref="C28" authorId="48">
      <x:text>
        <x:r>
          <x:t>[Threaded comment]
Your version of Excel allows you to read this threaded comment; however, any edits to it will get removed if the file is opened in a newer version of Excel. Learn more: https://go.microsoft.com/fwlink/?linkid=870924
Comment:
    TRS.xlsx, I11 / X. Original Images uses I01–I19 in extraction order. </x:t>
        </x:r>
      </x:text>
    </x:comment>
    <x:comment ref="B29" authorId="49">
      <x:text>
        <x:r>
          <x:t>[Threaded comment]
Your version of Excel allows you to read this threaded comment; however, any edits to it will get removed if the file is opened in a newer version of Excel. Learn more: https://go.microsoft.com/fwlink/?linkid=870924
Comment:
    TRS.xlsx, I11 / Y. Original Images uses I01–I19 in extraction order. </x:t>
        </x:r>
      </x:text>
    </x:comment>
    <x:comment ref="C29" authorId="50">
      <x:text>
        <x:r>
          <x:t>[Threaded comment]
Your version of Excel allows you to read this threaded comment; however, any edits to it will get removed if the file is opened in a newer version of Excel. Learn more: https://go.microsoft.com/fwlink/?linkid=870924
Comment:
    TRS.xlsx, I11 / Y. Original Images uses I01–I19 in extraction order. </x:t>
        </x:r>
      </x:text>
    </x:comment>
    <x:comment ref="B30" authorId="51">
      <x:text>
        <x:r>
          <x:t>[Threaded comment]
Your version of Excel allows you to read this threaded comment; however, any edits to it will get removed if the file is opened in a newer version of Excel. Learn more: https://go.microsoft.com/fwlink/?linkid=870924
Comment:
    TRS.xlsx, I11 / Z. Original Images uses I01–I19 in extraction order. Daily attribution field; does not establish the cause of the YTD bridge.</x:t>
        </x:r>
      </x:text>
    </x:comment>
    <x:comment ref="C30" authorId="52">
      <x:text>
        <x:r>
          <x:t>[Threaded comment]
Your version of Excel allows you to read this threaded comment; however, any edits to it will get removed if the file is opened in a newer version of Excel. Learn more: https://go.microsoft.com/fwlink/?linkid=870924
Comment:
    TRS.xlsx, I11 / Z. Original Images uses I01–I19 in extraction order. Daily attribution field; does not establish the cause of the YTD bridge.</x:t>
        </x:r>
      </x:text>
    </x:comment>
    <x:comment ref="B31" authorId="53">
      <x:text>
        <x:r>
          <x:t>[Threaded comment]
Your version of Excel allows you to read this threaded comment; however, any edits to it will get removed if the file is opened in a newer version of Excel. Learn more: https://go.microsoft.com/fwlink/?linkid=870924
Comment:
    TRS.xlsx, I11 / AA. Original Images uses I01–I19 in extraction order. </x:t>
        </x:r>
      </x:text>
    </x:comment>
    <x:comment ref="C31" authorId="54">
      <x:text>
        <x:r>
          <x:t>[Threaded comment]
Your version of Excel allows you to read this threaded comment; however, any edits to it will get removed if the file is opened in a newer version of Excel. Learn more: https://go.microsoft.com/fwlink/?linkid=870924
Comment:
    TRS.xlsx, I11 / AA. Original Images uses I01–I19 in extraction order. </x:t>
        </x:r>
      </x:text>
    </x:comment>
    <x:comment ref="B32" authorId="55">
      <x:text>
        <x:r>
          <x:t>[Threaded comment]
Your version of Excel allows you to read this threaded comment; however, any edits to it will get removed if the file is opened in a newer version of Excel. Learn more: https://go.microsoft.com/fwlink/?linkid=870924
Comment:
    TRS.xlsx, I11 / AB. Original Images uses I01–I19 in extraction order. </x:t>
        </x:r>
      </x:text>
    </x:comment>
    <x:comment ref="C32" authorId="56">
      <x:text>
        <x:r>
          <x:t>[Threaded comment]
Your version of Excel allows you to read this threaded comment; however, any edits to it will get removed if the file is opened in a newer version of Excel. Learn more: https://go.microsoft.com/fwlink/?linkid=870924
Comment:
    TRS.xlsx, I11 / AB. Original Images uses I01–I19 in extraction order. </x:t>
        </x:r>
      </x:text>
    </x:comment>
    <x:comment ref="B33" authorId="57">
      <x:text>
        <x:r>
          <x:t>[Threaded comment]
Your version of Excel allows you to read this threaded comment; however, any edits to it will get removed if the file is opened in a newer version of Excel. Learn more: https://go.microsoft.com/fwlink/?linkid=870924
Comment:
    TRS.xlsx, I11 / AC. Original Images uses I01–I19 in extraction order. </x:t>
        </x:r>
      </x:text>
    </x:comment>
    <x:comment ref="C33" authorId="58">
      <x:text>
        <x:r>
          <x:t>[Threaded comment]
Your version of Excel allows you to read this threaded comment; however, any edits to it will get removed if the file is opened in a newer version of Excel. Learn more: https://go.microsoft.com/fwlink/?linkid=870924
Comment:
    TRS.xlsx, I11 / AC. Original Images uses I01–I19 in extraction order. </x:t>
        </x:r>
      </x:text>
    </x:comment>
    <x:comment ref="B34" authorId="59">
      <x:text>
        <x:r>
          <x:t>[Threaded comment]
Your version of Excel allows you to read this threaded comment; however, any edits to it will get removed if the file is opened in a newer version of Excel. Learn more: https://go.microsoft.com/fwlink/?linkid=870924
Comment:
    TRS.xlsx, I12 / AE. Original Images uses I01–I19 in extraction order. USD accounting PnL differs from displayed day P&amp;L.</x:t>
        </x:r>
      </x:text>
    </x:comment>
    <x:comment ref="C34" authorId="60">
      <x:text>
        <x:r>
          <x:t>[Threaded comment]
Your version of Excel allows you to read this threaded comment; however, any edits to it will get removed if the file is opened in a newer version of Excel. Learn more: https://go.microsoft.com/fwlink/?linkid=870924
Comment:
    TRS.xlsx, I12 / AE. Original Images uses I01–I19 in extraction order. USD accounting PnL differs from displayed day P&amp;L.</x:t>
        </x:r>
      </x:text>
    </x:comment>
    <x:comment ref="B35" authorId="61">
      <x:text>
        <x:r>
          <x:t>[Threaded comment]
Your version of Excel allows you to read this threaded comment; however, any edits to it will get removed if the file is opened in a newer version of Excel. Learn more: https://go.microsoft.com/fwlink/?linkid=870924
Comment:
    TRS.xlsx, I12 / AF. Original Images uses I01–I19 in extraction order. </x:t>
        </x:r>
      </x:text>
    </x:comment>
    <x:comment ref="C35" authorId="62">
      <x:text>
        <x:r>
          <x:t>[Threaded comment]
Your version of Excel allows you to read this threaded comment; however, any edits to it will get removed if the file is opened in a newer version of Excel. Learn more: https://go.microsoft.com/fwlink/?linkid=870924
Comment:
    TRS.xlsx, I12 / AF. Original Images uses I01–I19 in extraction order. </x:t>
        </x:r>
      </x:text>
    </x:comment>
    <x:comment ref="B36" authorId="63">
      <x:text>
        <x:r>
          <x:t>[Threaded comment]
Your version of Excel allows you to read this threaded comment; however, any edits to it will get removed if the file is opened in a newer version of Excel. Learn more: https://go.microsoft.com/fwlink/?linkid=870924
Comment:
    TRS.xlsx, I12 / AG. Original Images uses I01–I19 in extraction order. </x:t>
        </x:r>
      </x:text>
    </x:comment>
    <x:comment ref="C36" authorId="64">
      <x:text>
        <x:r>
          <x:t>[Threaded comment]
Your version of Excel allows you to read this threaded comment; however, any edits to it will get removed if the file is opened in a newer version of Excel. Learn more: https://go.microsoft.com/fwlink/?linkid=870924
Comment:
    TRS.xlsx, I12 / AG. Original Images uses I01–I19 in extraction order. </x:t>
        </x:r>
      </x:text>
    </x:comment>
    <x:comment ref="B37" authorId="65">
      <x:text>
        <x:r>
          <x:t>[Threaded comment]
Your version of Excel allows you to read this threaded comment; however, any edits to it will get removed if the file is opened in a newer version of Excel. Learn more: https://go.microsoft.com/fwlink/?linkid=870924
Comment:
    TRS.xlsx, I12 / AH. Original Images uses I01–I19 in extraction order. </x:t>
        </x:r>
      </x:text>
    </x:comment>
    <x:comment ref="C37" authorId="66">
      <x:text>
        <x:r>
          <x:t>[Threaded comment]
Your version of Excel allows you to read this threaded comment; however, any edits to it will get removed if the file is opened in a newer version of Excel. Learn more: https://go.microsoft.com/fwlink/?linkid=870924
Comment:
    TRS.xlsx, I12 / AH. Original Images uses I01–I19 in extraction order. </x:t>
        </x:r>
      </x:text>
    </x:comment>
    <x:comment ref="B38" authorId="67">
      <x:text>
        <x:r>
          <x:t>[Threaded comment]
Your version of Excel allows you to read this threaded comment; however, any edits to it will get removed if the file is opened in a newer version of Excel. Learn more: https://go.microsoft.com/fwlink/?linkid=870924
Comment:
    TRS.xlsx, I13 / AM. Original Images uses I01–I19 in extraction order. </x:t>
        </x:r>
      </x:text>
    </x:comment>
    <x:comment ref="C38" authorId="68">
      <x:text>
        <x:r>
          <x:t>[Threaded comment]
Your version of Excel allows you to read this threaded comment; however, any edits to it will get removed if the file is opened in a newer version of Excel. Learn more: https://go.microsoft.com/fwlink/?linkid=870924
Comment:
    TRS.xlsx, I13 / AM. Original Images uses I01–I19 in extraction order. </x:t>
        </x:r>
      </x:text>
    </x:comment>
    <x:comment ref="B39" authorId="69">
      <x:text>
        <x:r>
          <x:t>[Threaded comment]
Your version of Excel allows you to read this threaded comment; however, any edits to it will get removed if the file is opened in a newer version of Excel. Learn more: https://go.microsoft.com/fwlink/?linkid=870924
Comment:
    TRS.xlsx, I13 / AN. Original Images uses I01–I19 in extraction order. COF is shown separately from headline YTD.</x:t>
        </x:r>
      </x:text>
    </x:comment>
    <x:comment ref="C39" authorId="70">
      <x:text>
        <x:r>
          <x:t>[Threaded comment]
Your version of Excel allows you to read this threaded comment; however, any edits to it will get removed if the file is opened in a newer version of Excel. Learn more: https://go.microsoft.com/fwlink/?linkid=870924
Comment:
    TRS.xlsx, I13 / AN. Original Images uses I01–I19 in extraction order. COF is shown separately from headline YTD.</x:t>
        </x:r>
      </x:text>
    </x:comment>
    <x:comment ref="B40" authorId="71">
      <x:text>
        <x:r>
          <x:t>[Threaded comment]
Your version of Excel allows you to read this threaded comment; however, any edits to it will get removed if the file is opened in a newer version of Excel. Learn more: https://go.microsoft.com/fwlink/?linkid=870924
Comment:
    TRS.xlsx, I13 / AO. Original Images uses I01–I19 in extraction order. </x:t>
        </x:r>
      </x:text>
    </x:comment>
    <x:comment ref="C40" authorId="72">
      <x:text>
        <x:r>
          <x:t>[Threaded comment]
Your version of Excel allows you to read this threaded comment; however, any edits to it will get removed if the file is opened in a newer version of Excel. Learn more: https://go.microsoft.com/fwlink/?linkid=870924
Comment:
    TRS.xlsx, I13 / AO. Original Images uses I01–I19 in extraction order. </x:t>
        </x:r>
      </x:text>
    </x:comment>
    <x:comment ref="B41" authorId="73">
      <x:text>
        <x:r>
          <x:t>[Threaded comment]
Your version of Excel allows you to read this threaded comment; however, any edits to it will get removed if the file is opened in a newer version of Excel. Learn more: https://go.microsoft.com/fwlink/?linkid=870924
Comment:
    TRS.xlsx, I13 / AP. Original Images uses I01–I19 in extraction order. No corresponding swap COF is supplied.</x:t>
        </x:r>
      </x:text>
    </x:comment>
    <x:comment ref="C41" authorId="74">
      <x:text>
        <x:r>
          <x:t>[Threaded comment]
Your version of Excel allows you to read this threaded comment; however, any edits to it will get removed if the file is opened in a newer version of Excel. Learn more: https://go.microsoft.com/fwlink/?linkid=870924
Comment:
    TRS.xlsx, I13 / AP. Original Images uses I01–I19 in extraction order. No corresponding swap COF is supplied.</x:t>
        </x:r>
      </x:text>
    </x:comment>
    <x:comment ref="B42" authorId="75">
      <x:text>
        <x:r>
          <x:t>[Threaded comment]
Your version of Excel allows you to read this threaded comment; however, any edits to it will get removed if the file is opened in a newer version of Excel. Learn more: https://go.microsoft.com/fwlink/?linkid=870924
Comment:
    TRS.xlsx, I13 / AR. Original Images uses I01–I19 in extraction order. CNY row differs by USD 0.03 from I09.</x:t>
        </x:r>
      </x:text>
    </x:comment>
    <x:comment ref="C42" authorId="76">
      <x:text>
        <x:r>
          <x:t>[Threaded comment]
Your version of Excel allows you to read this threaded comment; however, any edits to it will get removed if the file is opened in a newer version of Excel. Learn more: https://go.microsoft.com/fwlink/?linkid=870924
Comment:
    TRS.xlsx, I13 / AR. Original Images uses I01–I19 in extraction order. CNY row differs by USD 0.03 from I09.</x:t>
        </x:r>
      </x:text>
    </x:comment>
    <x:comment ref="B43" authorId="77">
      <x:text>
        <x:r>
          <x:t>[Threaded comment]
Your version of Excel allows you to read this threaded comment; however, any edits to it will get removed if the file is opened in a newer version of Excel. Learn more: https://go.microsoft.com/fwlink/?linkid=870924
Comment:
    TRS.xlsx, I14 / AU. Original Images uses I01–I19 in extraction order. </x:t>
        </x:r>
      </x:text>
    </x:comment>
    <x:comment ref="C43" authorId="78">
      <x:text>
        <x:r>
          <x:t>[Threaded comment]
Your version of Excel allows you to read this threaded comment; however, any edits to it will get removed if the file is opened in a newer version of Excel. Learn more: https://go.microsoft.com/fwlink/?linkid=870924
Comment:
    TRS.xlsx, I14 / AU. Original Images uses I01–I19 in extraction order. </x:t>
        </x:r>
      </x:text>
    </x:comment>
    <x:comment ref="B44" authorId="79">
      <x:text>
        <x:r>
          <x:t>[Threaded comment]
Your version of Excel allows you to read this threaded comment; however, any edits to it will get removed if the file is opened in a newer version of Excel. Learn more: https://go.microsoft.com/fwlink/?linkid=870924
Comment:
    TRS.xlsx, I14 / AV. Original Images uses I01–I19 in extraction order. </x:t>
        </x:r>
      </x:text>
    </x:comment>
    <x:comment ref="C44" authorId="80">
      <x:text>
        <x:r>
          <x:t>[Threaded comment]
Your version of Excel allows you to read this threaded comment; however, any edits to it will get removed if the file is opened in a newer version of Excel. Learn more: https://go.microsoft.com/fwlink/?linkid=870924
Comment:
    TRS.xlsx, I14 / AV. Original Images uses I01–I19 in extraction order. </x:t>
        </x:r>
      </x:text>
    </x:comment>
    <x:comment ref="B45" authorId="81">
      <x:text>
        <x:r>
          <x:t>[Threaded comment]
Your version of Excel allows you to read this threaded comment; however, any edits to it will get removed if the file is opened in a newer version of Excel. Learn more: https://go.microsoft.com/fwlink/?linkid=870924
Comment:
    TRS.xlsx, I14 / AW. Original Images uses I01–I19 in extraction order. </x:t>
        </x:r>
      </x:text>
    </x:comment>
    <x:comment ref="C45" authorId="82">
      <x:text>
        <x:r>
          <x:t>[Threaded comment]
Your version of Excel allows you to read this threaded comment; however, any edits to it will get removed if the file is opened in a newer version of Excel. Learn more: https://go.microsoft.com/fwlink/?linkid=870924
Comment:
    TRS.xlsx, I14 / AW. Original Images uses I01–I19 in extraction order. </x:t>
        </x:r>
      </x:text>
    </x:comment>
    <x:comment ref="B46" authorId="83">
      <x:text>
        <x:r>
          <x:t>[Threaded comment]
Your version of Excel allows you to read this threaded comment; however, any edits to it will get removed if the file is opened in a newer version of Excel. Learn more: https://go.microsoft.com/fwlink/?linkid=870924
Comment:
    TRS.xlsx, I14 / AX. Original Images uses I01–I19 in extraction order. Matches five-decimal per-100 coupon-accrual rounding.</x:t>
        </x:r>
      </x:text>
    </x:comment>
    <x:comment ref="C46" authorId="84">
      <x:text>
        <x:r>
          <x:t>[Threaded comment]
Your version of Excel allows you to read this threaded comment; however, any edits to it will get removed if the file is opened in a newer version of Excel. Learn more: https://go.microsoft.com/fwlink/?linkid=870924
Comment:
    TRS.xlsx, I14 / AX. Original Images uses I01–I19 in extraction order. Matches five-decimal per-100 coupon-accrual rounding.</x:t>
        </x:r>
      </x:text>
    </x:comment>
    <x:comment ref="B47" authorId="85">
      <x:text>
        <x:r>
          <x:t>[Threaded comment]
Your version of Excel allows you to read this threaded comment; however, any edits to it will get removed if the file is opened in a newer version of Excel. Learn more: https://go.microsoft.com/fwlink/?linkid=870924
Comment:
    TRS.xlsx, I14 / AY. Original Images uses I01–I19 in extraction order. Displayed on both trade-currency rows.</x:t>
        </x:r>
      </x:text>
    </x:comment>
    <x:comment ref="C47" authorId="86">
      <x:text>
        <x:r>
          <x:t>[Threaded comment]
Your version of Excel allows you to read this threaded comment; however, any edits to it will get removed if the file is opened in a newer version of Excel. Learn more: https://go.microsoft.com/fwlink/?linkid=870924
Comment:
    TRS.xlsx, I14 / AY. Original Images uses I01–I19 in extraction order. Displayed on both trade-currency rows.</x:t>
        </x:r>
      </x:text>
    </x:comment>
    <x:comment ref="B48" authorId="87">
      <x:text>
        <x:r>
          <x:t>[Threaded comment]
Your version of Excel allows you to read this threaded comment; however, any edits to it will get removed if the file is opened in a newer version of Excel. Learn more: https://go.microsoft.com/fwlink/?linkid=870924
Comment:
    TRS.xlsx, I16 / BM. Original Images uses I01–I19 in extraction order. The user-editable input uses 108.5758 per 100.</x:t>
        </x:r>
      </x:text>
    </x:comment>
    <x:comment ref="C48" authorId="88">
      <x:text>
        <x:r>
          <x:t>[Threaded comment]
Your version of Excel allows you to read this threaded comment; however, any edits to it will get removed if the file is opened in a newer version of Excel. Learn more: https://go.microsoft.com/fwlink/?linkid=870924
Comment:
    TRS.xlsx, I16 / BM. Original Images uses I01–I19 in extraction order. The user-editable input uses 108.5758 per 100.</x:t>
        </x:r>
      </x:text>
    </x:comment>
    <x:comment ref="B49" authorId="89">
      <x:text>
        <x:r>
          <x:t>[Threaded comment]
Your version of Excel allows you to read this threaded comment; however, any edits to it will get removed if the file is opened in a newer version of Excel. Learn more: https://go.microsoft.com/fwlink/?linkid=870924
Comment:
    TRS.xlsx, I16 / BN. Original Images uses I01–I19 in extraction order. This is not the CNY per USD reporting rate; do not use it for CNY-to-USD translation.</x:t>
        </x:r>
      </x:text>
    </x:comment>
    <x:comment ref="C49" authorId="90">
      <x:text>
        <x:r>
          <x:t>[Threaded comment]
Your version of Excel allows you to read this threaded comment; however, any edits to it will get removed if the file is opened in a newer version of Excel. Learn more: https://go.microsoft.com/fwlink/?linkid=870924
Comment:
    TRS.xlsx, I16 / BN. Original Images uses I01–I19 in extraction order. This is not the CNY per USD reporting rate; do not use it for CNY-to-USD translation.</x:t>
        </x:r>
      </x:text>
    </x:comment>
    <x:comment ref="B50" authorId="91">
      <x:text>
        <x:r>
          <x:t>[Threaded comment]
Your version of Excel allows you to read this threaded comment; however, any edits to it will get removed if the file is opened in a newer version of Excel. Learn more: https://go.microsoft.com/fwlink/?linkid=870924
Comment:
    TRS.xlsx, I16 / BO. Original Images uses I01–I19 in extraction order. </x:t>
        </x:r>
      </x:text>
    </x:comment>
    <x:comment ref="C50" authorId="92">
      <x:text>
        <x:r>
          <x:t>[Threaded comment]
Your version of Excel allows you to read this threaded comment; however, any edits to it will get removed if the file is opened in a newer version of Excel. Learn more: https://go.microsoft.com/fwlink/?linkid=870924
Comment:
    TRS.xlsx, I16 / BO. Original Images uses I01–I19 in extraction order. </x:t>
        </x:r>
      </x:text>
    </x:comment>
    <x:comment ref="B51" authorId="93">
      <x:text>
        <x:r>
          <x:t>[Threaded comment]
Your version of Excel allows you to read this threaded comment; however, any edits to it will get removed if the file is opened in a newer version of Excel. Learn more: https://go.microsoft.com/fwlink/?linkid=870924
Comment:
    TRS.xlsx, I16 / BP. Original Images uses I01–I19 in extraction order. </x:t>
        </x:r>
      </x:text>
    </x:comment>
    <x:comment ref="C51" authorId="94">
      <x:text>
        <x:r>
          <x:t>[Threaded comment]
Your version of Excel allows you to read this threaded comment; however, any edits to it will get removed if the file is opened in a newer version of Excel. Learn more: https://go.microsoft.com/fwlink/?linkid=870924
Comment:
    TRS.xlsx, I16 / BP. Original Images uses I01–I19 in extraction order. </x:t>
        </x:r>
      </x:text>
    </x:comment>
    <x:comment ref="B52" authorId="95">
      <x:text>
        <x:r>
          <x:t>[Threaded comment]
Your version of Excel allows you to read this threaded comment; however, any edits to it will get removed if the file is opened in a newer version of Excel. Learn more: https://go.microsoft.com/fwlink/?linkid=870924
Comment:
    TRS.xlsx, I16 / BQ. Original Images uses I01–I19 in extraction order. </x:t>
        </x:r>
      </x:text>
    </x:comment>
    <x:comment ref="C52" authorId="96">
      <x:text>
        <x:r>
          <x:t>[Threaded comment]
Your version of Excel allows you to read this threaded comment; however, any edits to it will get removed if the file is opened in a newer version of Excel. Learn more: https://go.microsoft.com/fwlink/?linkid=870924
Comment:
    TRS.xlsx, I16 / BQ. Original Images uses I01–I19 in extraction order. </x:t>
        </x:r>
      </x:text>
    </x:comment>
    <x:comment ref="B53" authorId="97">
      <x:text>
        <x:r>
          <x:t>[Threaded comment]
Your version of Excel allows you to read this threaded comment; however, any edits to it will get removed if the file is opened in a newer version of Excel. Learn more: https://go.microsoft.com/fwlink/?linkid=870924
Comment:
    TRS.xlsx, I16 / BR. Original Images uses I01–I19 in extraction order. </x:t>
        </x:r>
      </x:text>
    </x:comment>
    <x:comment ref="C53" authorId="98">
      <x:text>
        <x:r>
          <x:t>[Threaded comment]
Your version of Excel allows you to read this threaded comment; however, any edits to it will get removed if the file is opened in a newer version of Excel. Learn more: https://go.microsoft.com/fwlink/?linkid=870924
Comment:
    TRS.xlsx, I16 / BR. Original Images uses I01–I19 in extraction order. </x:t>
        </x:r>
      </x:text>
    </x:comment>
    <x:comment ref="B54" authorId="99">
      <x:text>
        <x:r>
          <x:t>[Threaded comment]
Your version of Excel allows you to read this threaded comment; however, any edits to it will get removed if the file is opened in a newer version of Excel. Learn more: https://go.microsoft.com/fwlink/?linkid=870924
Comment:
    TRS.xlsx, I17 / BS. Original Images uses I01–I19 in extraction order. Known TRS COF only. No swap COF figure is provided.</x:t>
        </x:r>
      </x:text>
    </x:comment>
    <x:comment ref="C54" authorId="100">
      <x:text>
        <x:r>
          <x:t>[Threaded comment]
Your version of Excel allows you to read this threaded comment; however, any edits to it will get removed if the file is opened in a newer version of Excel. Learn more: https://go.microsoft.com/fwlink/?linkid=870924
Comment:
    TRS.xlsx, I17 / BS. Original Images uses I01–I19 in extraction order. Known TRS COF only. No swap COF figure is provided.</x:t>
        </x:r>
      </x:text>
    </x:comment>
    <x:comment ref="B55" authorId="101">
      <x:text>
        <x:r>
          <x:t>[Threaded comment]
Your version of Excel allows you to read this threaded comment; however, any edits to it will get removed if the file is opened in a newer version of Excel. Learn more: https://go.microsoft.com/fwlink/?linkid=870924
Comment:
    TRS.xlsx, I18 / C. Original Images uses I01–I19 in extraction order. Alternative vendor timestamp; not the requested EOD input.</x:t>
        </x:r>
      </x:text>
    </x:comment>
    <x:comment ref="B56" authorId="102">
      <x:text>
        <x:r>
          <x:t>[Threaded comment]
Your version of Excel allows you to read this threaded comment; however, any edits to it will get removed if the file is opened in a newer version of Excel. Learn more: https://go.microsoft.com/fwlink/?linkid=870924
Comment:
    TRS.xlsx, I18 / D. Original Images uses I01–I19 in extraction order. </x:t>
        </x:r>
      </x:text>
    </x:comment>
    <x:comment ref="B57" authorId="103">
      <x:text>
        <x:r>
          <x:t>[Threaded comment]
Your version of Excel allows you to read this threaded comment; however, any edits to it will get removed if the file is opened in a newer version of Excel. Learn more: https://go.microsoft.com/fwlink/?linkid=870924
Comment:
    TRS.xlsx, I18 / E. Original Images uses I01–I19 in extraction order. </x:t>
        </x:r>
      </x:text>
    </x:comment>
    <x:comment ref="B58" authorId="104">
      <x:text>
        <x:r>
          <x:t>[Threaded comment]
Your version of Excel allows you to read this threaded comment; however, any edits to it will get removed if the file is opened in a newer version of Excel. Learn more: https://go.microsoft.com/fwlink/?linkid=870924
Comment:
    TRS.xlsx, I05 / R. Original Images uses I01–I19 in extraction order. Not used to reprice the bond; the exact clean-price formula is used.</x:t>
        </x:r>
      </x:text>
    </x:comment>
    <x:comment ref="C58" authorId="105">
      <x:text>
        <x:r>
          <x:t>[Threaded comment]
Your version of Excel allows you to read this threaded comment; however, any edits to it will get removed if the file is opened in a newer version of Excel. Learn more: https://go.microsoft.com/fwlink/?linkid=870924
Comment:
    TRS.xlsx, I05 / R. Original Images uses I01–I19 in extraction order. Not used to reprice the bond; the exact clean-price formula is used.</x:t>
        </x:r>
      </x:text>
    </x:comment>
    <x:comment ref="D58" authorId="106">
      <x:text>
        <x:r>
          <x:t>[Threaded comment]
Your version of Excel allows you to read this threaded comment; however, any edits to it will get removed if the file is opened in a newer version of Excel. Learn more: https://go.microsoft.com/fwlink/?linkid=870924
Comment:
    TRS.xlsx, I05 / R. Original Images uses I01–I19 in extraction order. Not used to reprice the bond; the exact clean-price formula is used.</x:t>
        </x:r>
      </x:text>
    </x:comment>
    <x:comment ref="B59" authorId="107">
      <x:text>
        <x:r>
          <x:t>[Threaded comment]
Your version of Excel allows you to read this threaded comment; however, any edits to it will get removed if the file is opened in a newer version of Excel. Learn more: https://go.microsoft.com/fwlink/?linkid=870924
Comment:
    TRS.xlsx, I05 / T. Original Images uses I01–I19 in extraction order. </x:t>
        </x:r>
      </x:text>
    </x:comment>
    <x:comment ref="C59" authorId="108">
      <x:text>
        <x:r>
          <x:t>[Threaded comment]
Your version of Excel allows you to read this threaded comment; however, any edits to it will get removed if the file is opened in a newer version of Excel. Learn more: https://go.microsoft.com/fwlink/?linkid=870924
Comment:
    TRS.xlsx, I05 / T. Original Images uses I01–I19 in extraction order. </x:t>
        </x:r>
      </x:text>
    </x:comment>
    <x:comment ref="D59" authorId="109">
      <x:text>
        <x:r>
          <x:t>[Threaded comment]
Your version of Excel allows you to read this threaded comment; however, any edits to it will get removed if the file is opened in a newer version of Excel. Learn more: https://go.microsoft.com/fwlink/?linkid=870924
Comment:
    TRS.xlsx, I05 / T. Original Images uses I01–I19 in extraction order. </x:t>
        </x:r>
      </x:text>
    </x:comment>
    <x:comment ref="B60" authorId="110">
      <x:text>
        <x:r>
          <x:t>[Threaded comment]
Your version of Excel allows you to read this threaded comment; however, any edits to it will get removed if the file is opened in a newer version of Excel. Learn more: https://go.microsoft.com/fwlink/?linkid=870924
Comment:
    TRS.xlsx, I09 / CM. Original Images uses I01–I19 in extraction order. Retained as displayed; not interpreted as a tenor.</x:t>
        </x:r>
      </x:text>
    </x:comment>
    <x:comment ref="C60" authorId="111">
      <x:text>
        <x:r>
          <x:t>[Threaded comment]
Your version of Excel allows you to read this threaded comment; however, any edits to it will get removed if the file is opened in a newer version of Excel. Learn more: https://go.microsoft.com/fwlink/?linkid=870924
Comment:
    TRS.xlsx, I09 / CM. Original Images uses I01–I19 in extraction order. Retained as displayed; not interpreted as a tenor.</x:t>
        </x:r>
      </x:text>
    </x:comment>
    <x:comment ref="D60" authorId="112">
      <x:text>
        <x:r>
          <x:t>[Threaded comment]
Your version of Excel allows you to read this threaded comment; however, any edits to it will get removed if the file is opened in a newer version of Excel. Learn more: https://go.microsoft.com/fwlink/?linkid=870924
Comment:
    TRS.xlsx, I09 / CM. Original Images uses I01–I19 in extraction order. Retained as displayed; not interpreted as a tenor.</x:t>
        </x:r>
      </x:text>
    </x:comment>
    <x:comment ref="B61" authorId="113">
      <x:text>
        <x:r>
          <x:t>[Threaded comment]
Your version of Excel allows you to read this threaded comment; however, any edits to it will get removed if the file is opened in a newer version of Excel. Learn more: https://go.microsoft.com/fwlink/?linkid=870924
Comment:
    TRS.xlsx, I09 / CO. Original Images uses I01–I19 in extraction order. </x:t>
        </x:r>
      </x:text>
    </x:comment>
    <x:comment ref="C61" authorId="114">
      <x:text>
        <x:r>
          <x:t>[Threaded comment]
Your version of Excel allows you to read this threaded comment; however, any edits to it will get removed if the file is opened in a newer version of Excel. Learn more: https://go.microsoft.com/fwlink/?linkid=870924
Comment:
    TRS.xlsx, I09 / CO. Original Images uses I01–I19 in extraction order. </x:t>
        </x:r>
      </x:text>
    </x:comment>
    <x:comment ref="D61" authorId="115">
      <x:text>
        <x:r>
          <x:t>[Threaded comment]
Your version of Excel allows you to read this threaded comment; however, any edits to it will get removed if the file is opened in a newer version of Excel. Learn more: https://go.microsoft.com/fwlink/?linkid=870924
Comment:
    TRS.xlsx, I09 / CO. Original Images uses I01–I19 in extraction order. </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0.00;[Red](#,##0.00);&quot;-&quot;"/>
    <x:numFmt numFmtId="201" formatCode="0.000000"/>
    <x:numFmt numFmtId="202" formatCode="0.0000"/>
    <x:numFmt numFmtId="203" formatCode="#,##0.00000;[Red](#,##0.00000);&quot;-&quot;"/>
    <x:numFmt numFmtId="204" formatCode="dd mmm yyyy"/>
    <x:numFmt numFmtId="205" formatCode="0.0"/>
    <x:numFmt numFmtId="206" formatCode="0.0000%;[Red](0.0000%);&quot;-&quot;"/>
    <x:numFmt numFmtId="207" formatCode="@"/>
    <x:numFmt numFmtId="208" formatCode="0"/>
    <x:numFmt numFmtId="209" formatCode="0.00"/>
    <x:numFmt numFmtId="210" formatCode="0.00000"/>
    <x:numFmt numFmtId="211" formatCode="#,##0.0000;[Red](#,##0.0000);&quot;-&quot;"/>
    <x:numFmt numFmtId="212" formatCode="0.00000000"/>
    <x:numFmt numFmtId="213" formatCode="0.0000000000"/>
    <x:numFmt numFmtId="214" formatCode="0.0000;[Red](0.0000);&quot;-&quot;"/>
  </x:numFmts>
  <x:fonts count="14">
    <x:font>
      <x:sz val="11"/>
      <x:name val="Carlito"/>
    </x:font>
    <x:font>
      <x:sz val="11"/>
      <x:color rgb="FF172B3A"/>
      <x:name val="Carlito"/>
    </x:font>
    <x:font>
      <x:b/>
      <x:sz val="21"/>
      <x:color rgb="FFFFFFFF"/>
      <x:name val="Carlito"/>
    </x:font>
    <x:font>
      <x:sz val="11"/>
      <x:color rgb="FF526475"/>
      <x:name val="Carlito"/>
    </x:font>
    <x:font>
      <x:b/>
      <x:sz val="11"/>
      <x:color rgb="FF172B3A"/>
      <x:name val="Carlito"/>
    </x:font>
    <x:font>
      <x:sz val="11"/>
      <x:color rgb="FF0000FF"/>
      <x:name val="Carlito"/>
    </x:font>
    <x:font>
      <x:sz val="11"/>
      <x:color rgb="FF008000"/>
      <x:name val="Carlito"/>
    </x:font>
    <x:font>
      <x:sz val="11"/>
      <x:color rgb="FF000000"/>
      <x:name val="Carlito"/>
    </x:font>
    <x:font>
      <x:b/>
      <x:sz val="11"/>
      <x:color rgb="FFFFFFFF"/>
      <x:name val="Carlito"/>
    </x:font>
    <x:font>
      <x:b/>
      <x:sz val="11"/>
      <x:color rgb="FF000000"/>
      <x:name val="Carlito"/>
    </x:font>
    <x:font>
      <x:b/>
      <x:sz val="11"/>
      <x:color rgb="FF008000"/>
      <x:name val="Carlito"/>
    </x:font>
    <x:font>
      <x:b/>
      <x:sz val="23"/>
      <x:color rgb="FF0000FF"/>
      <x:name val="Carlito"/>
    </x:font>
    <x:font>
      <x:sz val="21"/>
      <x:color rgb="FF008000"/>
      <x:name val="Carlito"/>
    </x:font>
    <x:font>
      <x:sz val="19"/>
      <x:color rgb="FF008000"/>
      <x:name val="Carlito"/>
    </x:font>
  </x:fonts>
  <x:fills count="8">
    <x:fill>
      <x:patternFill patternType="none"/>
    </x:fill>
    <x:fill>
      <x:patternFill patternType="gray125"/>
    </x:fill>
    <x:fill>
      <x:patternFill patternType="solid">
        <x:fgColor rgb="FF17324D"/>
      </x:patternFill>
    </x:fill>
    <x:fill>
      <x:patternFill patternType="solid">
        <x:fgColor rgb="FFEFF3F7"/>
      </x:patternFill>
    </x:fill>
    <x:fill>
      <x:patternFill patternType="solid">
        <x:fgColor rgb="FFFFF2A8"/>
      </x:patternFill>
    </x:fill>
    <x:fill>
      <x:patternFill patternType="solid">
        <x:fgColor rgb="FFFFF0D1"/>
      </x:patternFill>
    </x:fill>
    <x:fill>
      <x:patternFill patternType="solid">
        <x:fgColor rgb="FFE8F3F1"/>
      </x:patternFill>
    </x:fill>
    <x:fill>
      <x:patternFill patternType="solid">
        <x:fgColor rgb="FFDCF3E6"/>
      </x:patternFill>
    </x:fill>
  </x:fills>
  <x:borders count="3">
    <x:border/>
    <x:border>
      <x:top style="thin">
        <x:color rgb="FF006B68"/>
      </x:top>
    </x:border>
    <x:border>
      <x:left style="medium">
        <x:color rgb="FF006B68"/>
      </x:left>
      <x:right style="medium">
        <x:color rgb="FF006B68"/>
      </x:right>
      <x:top style="medium">
        <x:color rgb="FF006B68"/>
      </x:top>
      <x:bottom style="medium">
        <x:color rgb="FF006B68"/>
      </x:bottom>
    </x:border>
  </x:borders>
  <x:cellStyleXfs count="1">
    <x:xf numFmtId="0" fontId="0" fillId="0" borderId="0"/>
  </x:cellStyleXfs>
  <x:cellXfs count="1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horizontal="right" vertical="center" wrapText="1"/>
    </x:xf>
    <x:xf numFmtId="202" fontId="1" fillId="0" borderId="0"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4" fontId="1"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204" fontId="5" fillId="4"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2" fontId="5" fillId="4" borderId="0"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5" fillId="0" borderId="0" xfId="0" applyNumberFormat="1" applyFont="1" applyFill="1" applyBorder="1" applyAlignment="1">
      <x:alignment vertical="center"/>
    </x:xf>
    <x:xf numFmtId="205" fontId="5" fillId="4" borderId="0" xfId="0" applyNumberFormat="1" applyFont="1" applyFill="1" applyBorder="1" applyAlignment="1">
      <x:alignment vertical="center"/>
    </x:xf>
    <x:xf numFmtId="206" fontId="1" fillId="0" borderId="0" xfId="0" applyNumberFormat="1" applyFont="1" applyFill="1" applyBorder="1" applyAlignment="1">
      <x:alignment vertical="center"/>
    </x:xf>
    <x:xf numFmtId="206" fontId="5" fillId="0" borderId="0" xfId="0" applyNumberFormat="1" applyFont="1" applyFill="1" applyBorder="1" applyAlignment="1">
      <x:alignment vertical="center"/>
    </x:xf>
    <x:xf numFmtId="206" fontId="5" fillId="4" borderId="0" xfId="0" applyNumberFormat="1" applyFont="1" applyFill="1" applyBorder="1" applyAlignment="1">
      <x:alignment vertical="center"/>
    </x:xf>
    <x:xf numFmtId="207" fontId="1" fillId="0" borderId="0" xfId="0" applyNumberFormat="1" applyFont="1" applyFill="1" applyBorder="1" applyAlignment="1">
      <x:alignment vertical="center"/>
    </x:xf>
    <x:xf numFmtId="207" fontId="5" fillId="0" borderId="0" xfId="0" applyNumberFormat="1" applyFont="1" applyFill="1" applyBorder="1" applyAlignment="1">
      <x:alignment vertical="center"/>
    </x:xf>
    <x:xf numFmtId="207" fontId="5" fillId="4" borderId="0" xfId="0" applyNumberFormat="1" applyFont="1" applyFill="1" applyBorder="1" applyAlignment="1">
      <x:alignment vertical="center"/>
    </x:xf>
    <x:xf numFmtId="208" fontId="1" fillId="0" borderId="0" xfId="0" applyNumberFormat="1" applyFont="1" applyFill="1" applyBorder="1" applyAlignment="1">
      <x:alignment vertical="center"/>
    </x:xf>
    <x:xf numFmtId="208" fontId="5" fillId="0" borderId="0" xfId="0" applyNumberFormat="1" applyFont="1" applyFill="1" applyBorder="1" applyAlignment="1">
      <x:alignment vertical="center"/>
    </x:xf>
    <x:xf numFmtId="208" fontId="5" fillId="4" borderId="0" xfId="0" applyNumberFormat="1" applyFont="1" applyFill="1" applyBorder="1" applyAlignment="1">
      <x:alignment vertical="center"/>
    </x:xf>
    <x:xf numFmtId="209" fontId="1" fillId="0" borderId="0" xfId="0" applyNumberFormat="1" applyFont="1" applyFill="1" applyBorder="1" applyAlignment="1">
      <x:alignment vertical="center"/>
    </x:xf>
    <x:xf numFmtId="209" fontId="5" fillId="0" borderId="0" xfId="0" applyNumberFormat="1" applyFont="1" applyFill="1" applyBorder="1" applyAlignment="1">
      <x:alignment vertical="center"/>
    </x:xf>
    <x:xf numFmtId="209" fontId="5" fillId="4" borderId="0" xfId="0" applyNumberFormat="1" applyFont="1" applyFill="1" applyBorder="1" applyAlignment="1">
      <x:alignment vertical="center"/>
    </x:xf>
    <x:xf numFmtId="200" fontId="6" fillId="0" borderId="0" xfId="0" applyNumberFormat="1" applyFont="1" applyFill="1" applyBorder="1" applyAlignment="1">
      <x:alignment vertical="center"/>
    </x:xf>
    <x:xf numFmtId="208" fontId="7"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210" fontId="1" fillId="0" borderId="0" xfId="0" applyNumberFormat="1" applyFont="1" applyFill="1" applyBorder="1" applyAlignment="1">
      <x:alignment vertical="center"/>
    </x:xf>
    <x:xf numFmtId="210" fontId="6"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206" fontId="7" fillId="0" borderId="0" xfId="0" applyNumberFormat="1" applyFont="1" applyFill="1" applyBorder="1" applyAlignment="1">
      <x:alignment vertical="center"/>
    </x:xf>
    <x:xf numFmtId="211" fontId="1" fillId="0" borderId="0" xfId="0" applyNumberFormat="1" applyFont="1" applyFill="1" applyBorder="1" applyAlignment="1">
      <x:alignment vertical="center"/>
    </x:xf>
    <x:xf numFmtId="211" fontId="6" fillId="0" borderId="0" xfId="0" applyNumberFormat="1" applyFont="1" applyFill="1" applyBorder="1" applyAlignment="1">
      <x:alignment vertical="center"/>
    </x:xf>
    <x:xf numFmtId="200" fontId="7" fillId="0" borderId="0" xfId="0" applyNumberFormat="1" applyFont="1" applyFill="1" applyBorder="1" applyAlignment="1">
      <x:alignment vertical="center"/>
    </x:xf>
    <x:xf numFmtId="0" fontId="8" fillId="2" borderId="0" xfId="0" applyNumberFormat="1" applyFont="1" applyFill="1" applyBorder="1" applyAlignment="1">
      <x:alignment vertical="center" wrapText="1"/>
    </x:xf>
    <x:xf numFmtId="204" fontId="5" fillId="4" borderId="0" xfId="0" applyNumberFormat="1" applyFont="1" applyFill="1" applyBorder="1" applyAlignment="1">
      <x:alignment vertical="center" wrapText="1"/>
    </x:xf>
    <x:xf numFmtId="202" fontId="5" fillId="4"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205" fontId="5" fillId="4" borderId="0" xfId="0" applyNumberFormat="1" applyFont="1" applyFill="1" applyBorder="1" applyAlignment="1">
      <x:alignment vertical="center" wrapText="1"/>
    </x:xf>
    <x:xf numFmtId="206" fontId="5" fillId="4"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7" fontId="5" fillId="4" borderId="0" xfId="0" applyNumberFormat="1" applyFont="1" applyFill="1" applyBorder="1" applyAlignment="1">
      <x:alignment vertical="center" wrapText="1"/>
    </x:xf>
    <x:xf numFmtId="208" fontId="5" fillId="4" borderId="0" xfId="0" applyNumberFormat="1" applyFont="1" applyFill="1" applyBorder="1" applyAlignment="1">
      <x:alignment vertical="center" wrapText="1"/>
    </x:xf>
    <x:xf numFmtId="208" fontId="7" fillId="0" borderId="0" xfId="0" applyNumberFormat="1" applyFont="1" applyFill="1" applyBorder="1" applyAlignment="1">
      <x:alignment vertical="center" wrapText="1"/>
    </x:xf>
    <x:xf numFmtId="209" fontId="5" fillId="4"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210" fontId="6" fillId="0" borderId="0" xfId="0" applyNumberFormat="1" applyFont="1" applyFill="1" applyBorder="1" applyAlignment="1">
      <x:alignment vertical="center" wrapText="1"/>
    </x:xf>
    <x:xf numFmtId="204" fontId="7" fillId="0" borderId="0" xfId="0" applyNumberFormat="1" applyFont="1" applyFill="1" applyBorder="1" applyAlignment="1">
      <x:alignment vertical="center" wrapText="1"/>
    </x:xf>
    <x:xf numFmtId="206" fontId="7" fillId="0" borderId="0" xfId="0" applyNumberFormat="1" applyFont="1" applyFill="1" applyBorder="1" applyAlignment="1">
      <x:alignment vertical="center" wrapText="1"/>
    </x:xf>
    <x:xf numFmtId="211" fontId="6" fillId="0" borderId="0" xfId="0" applyNumberFormat="1" applyFont="1" applyFill="1" applyBorder="1" applyAlignment="1">
      <x:alignment vertical="center" wrapText="1"/>
    </x:xf>
    <x:xf numFmtId="200" fontId="7" fillId="0"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2" fontId="7" fillId="0" borderId="0" xfId="0" applyNumberFormat="1" applyFont="1" applyFill="1" applyBorder="1" applyAlignment="1">
      <x:alignment vertical="center"/>
    </x:xf>
    <x:xf numFmtId="210" fontId="7" fillId="0" borderId="0" xfId="0" applyNumberFormat="1" applyFont="1" applyFill="1" applyBorder="1" applyAlignment="1">
      <x:alignment vertical="center"/>
    </x:xf>
    <x:xf numFmtId="0" fontId="1" fillId="6" borderId="0" xfId="0" applyNumberFormat="1" applyFont="1" applyFill="1" applyBorder="1" applyAlignment="1">
      <x:alignment vertical="center"/>
    </x:xf>
    <x:xf numFmtId="200" fontId="7" fillId="6" borderId="0" xfId="0" applyNumberFormat="1" applyFont="1" applyFill="1" applyBorder="1" applyAlignment="1">
      <x:alignment vertical="center"/>
    </x:xf>
    <x:xf numFmtId="200" fontId="6" fillId="6" borderId="0" xfId="0" applyNumberFormat="1" applyFont="1" applyFill="1" applyBorder="1" applyAlignment="1">
      <x:alignment vertical="center"/>
    </x:xf>
    <x:xf numFmtId="0" fontId="4" fillId="6" borderId="0" xfId="0" applyNumberFormat="1" applyFont="1" applyFill="1" applyBorder="1" applyAlignment="1">
      <x:alignment vertical="center"/>
    </x:xf>
    <x:xf numFmtId="200" fontId="9" fillId="6" borderId="0" xfId="0" applyNumberFormat="1" applyFont="1" applyFill="1" applyBorder="1" applyAlignment="1">
      <x:alignment vertical="center"/>
    </x:xf>
    <x:xf numFmtId="200" fontId="10" fillId="6" borderId="0" xfId="0" applyNumberFormat="1" applyFont="1" applyFill="1" applyBorder="1" applyAlignment="1">
      <x:alignment vertical="center"/>
    </x:xf>
    <x:xf numFmtId="0" fontId="4" fillId="6" borderId="1" xfId="0" applyNumberFormat="1" applyFont="1" applyFill="1" applyBorder="1" applyAlignment="1">
      <x:alignment vertical="center"/>
    </x:xf>
    <x:xf numFmtId="200" fontId="9" fillId="6" borderId="1" xfId="0" applyNumberFormat="1" applyFont="1" applyFill="1" applyBorder="1" applyAlignment="1">
      <x:alignment vertical="center"/>
    </x:xf>
    <x:xf numFmtId="200" fontId="10" fillId="6" borderId="1" xfId="0" applyNumberFormat="1" applyFont="1" applyFill="1" applyBorder="1" applyAlignment="1">
      <x:alignment vertical="center"/>
    </x:xf>
    <x:xf numFmtId="211" fontId="7" fillId="0" borderId="0" xfId="0" applyNumberFormat="1" applyFont="1" applyFill="1" applyBorder="1" applyAlignment="1">
      <x:alignment vertical="center"/>
    </x:xf>
    <x:xf numFmtId="202" fontId="7" fillId="0" borderId="0" xfId="0" applyNumberFormat="1" applyFont="1" applyFill="1" applyBorder="1" applyAlignment="1">
      <x:alignment vertical="center" wrapText="1"/>
    </x:xf>
    <x:xf numFmtId="210" fontId="7" fillId="0" borderId="0"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0" fontId="9" fillId="6" borderId="1" xfId="0" applyNumberFormat="1" applyFont="1" applyFill="1" applyBorder="1" applyAlignment="1">
      <x:alignment vertical="center" wrapText="1"/>
    </x:xf>
    <x:xf numFmtId="200" fontId="10" fillId="6" borderId="1" xfId="0" applyNumberFormat="1" applyFont="1" applyFill="1" applyBorder="1" applyAlignment="1">
      <x:alignment vertical="center" wrapText="1"/>
    </x:xf>
    <x:xf numFmtId="211" fontId="7" fillId="0" borderId="0" xfId="0" applyNumberFormat="1" applyFont="1" applyFill="1" applyBorder="1" applyAlignment="1">
      <x:alignment vertical="center" wrapText="1"/>
    </x:xf>
    <x:xf numFmtId="208" fontId="6" fillId="0" borderId="0" xfId="0" applyNumberFormat="1" applyFont="1" applyFill="1" applyBorder="1" applyAlignment="1">
      <x:alignment vertical="center"/>
    </x:xf>
    <x:xf numFmtId="208" fontId="6" fillId="0" borderId="0" xfId="0" applyNumberFormat="1" applyFont="1" applyFill="1" applyBorder="1" applyAlignment="1">
      <x:alignment vertical="center" wrapText="1"/>
    </x:xf>
    <x:xf numFmtId="207" fontId="6" fillId="0" borderId="0" xfId="0" applyNumberFormat="1" applyFont="1" applyFill="1" applyBorder="1" applyAlignment="1">
      <x:alignment vertical="center"/>
    </x:xf>
    <x:xf numFmtId="207" fontId="7" fillId="0" borderId="0" xfId="0" applyNumberFormat="1" applyFont="1" applyFill="1" applyBorder="1" applyAlignment="1">
      <x:alignment vertical="center"/>
    </x:xf>
    <x:xf numFmtId="204" fontId="6" fillId="0" borderId="0" xfId="0" applyNumberFormat="1" applyFont="1" applyFill="1" applyBorder="1" applyAlignment="1">
      <x:alignment vertical="center"/>
    </x:xf>
    <x:xf numFmtId="205" fontId="6" fillId="0" borderId="0" xfId="0" applyNumberFormat="1" applyFont="1" applyFill="1" applyBorder="1" applyAlignment="1">
      <x:alignment vertical="center"/>
    </x:xf>
    <x:xf numFmtId="212" fontId="1" fillId="0" borderId="0" xfId="0" applyNumberFormat="1" applyFont="1" applyFill="1" applyBorder="1" applyAlignment="1">
      <x:alignment vertical="center"/>
    </x:xf>
    <x:xf numFmtId="212" fontId="6" fillId="0" borderId="0" xfId="0" applyNumberFormat="1" applyFont="1" applyFill="1" applyBorder="1" applyAlignment="1">
      <x:alignment vertical="center"/>
    </x:xf>
    <x:xf numFmtId="213" fontId="1" fillId="0" borderId="0" xfId="0" applyNumberFormat="1" applyFont="1" applyFill="1" applyBorder="1" applyAlignment="1">
      <x:alignment vertical="center"/>
    </x:xf>
    <x:xf numFmtId="213" fontId="6" fillId="0" borderId="0" xfId="0" applyNumberFormat="1" applyFont="1" applyFill="1" applyBorder="1" applyAlignment="1">
      <x:alignment vertical="center"/>
    </x:xf>
    <x:xf numFmtId="213" fontId="7"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2" fontId="11" fillId="4" borderId="0" xfId="0" applyNumberFormat="1" applyFont="1" applyFill="1" applyBorder="1" applyAlignment="1">
      <x:alignment vertical="center"/>
    </x:xf>
    <x:xf numFmtId="202" fontId="11" fillId="4" borderId="2" xfId="0" applyNumberFormat="1" applyFont="1" applyFill="1" applyBorder="1" applyAlignment="1">
      <x:alignment vertical="center"/>
    </x:xf>
    <x:xf numFmtId="214" fontId="1" fillId="0" borderId="0" xfId="0" applyNumberFormat="1" applyFont="1" applyFill="1" applyBorder="1" applyAlignment="1">
      <x:alignment vertical="center"/>
    </x:xf>
    <x:xf numFmtId="214" fontId="6" fillId="0" borderId="0" xfId="0" applyNumberFormat="1" applyFont="1" applyFill="1" applyBorder="1" applyAlignment="1">
      <x:alignment vertical="center"/>
    </x:xf>
    <x:xf numFmtId="214" fontId="12" fillId="0" borderId="0" xfId="0" applyNumberFormat="1" applyFont="1" applyFill="1" applyBorder="1" applyAlignment="1">
      <x:alignment vertical="center"/>
    </x:xf>
    <x:xf numFmtId="200" fontId="13" fillId="0" borderId="0" xfId="0" applyNumberFormat="1" applyFont="1" applyFill="1" applyBorder="1" applyAlignment="1">
      <x:alignment vertical="center"/>
    </x:xf>
    <x:xf numFmtId="200" fontId="13" fillId="6"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202" fontId="6" fillId="6" borderId="0" xfId="0" applyNumberFormat="1" applyFont="1" applyFill="1" applyBorder="1" applyAlignment="1">
      <x:alignment vertical="center"/>
    </x:xf>
    <x:xf numFmtId="202" fontId="10" fillId="6" borderId="0" xfId="0" applyNumberFormat="1" applyFont="1" applyFill="1" applyBorder="1" applyAlignment="1">
      <x:alignment vertical="center"/>
    </x:xf>
    <x:xf numFmtId="202" fontId="10" fillId="6" borderId="1" xfId="0" applyNumberFormat="1" applyFont="1" applyFill="1" applyBorder="1" applyAlignment="1">
      <x:alignment vertical="center"/>
    </x:xf>
    <x:xf numFmtId="207" fontId="7" fillId="0"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2" fontId="6" fillId="0" borderId="0" xfId="0" applyNumberFormat="1" applyFont="1" applyFill="1" applyBorder="1" applyAlignment="1">
      <x:alignment horizontal="right" vertical="center" wrapText="1"/>
    </x:xf>
    <x:xf numFmtId="202" fontId="7" fillId="0" borderId="0" xfId="0" applyNumberFormat="1" applyFont="1" applyFill="1" applyBorder="1" applyAlignment="1">
      <x:alignment horizontal="right" vertical="center" wrapText="1"/>
    </x:xf>
    <x:xf numFmtId="210" fontId="6" fillId="0" borderId="0" xfId="0" applyNumberFormat="1" applyFont="1" applyFill="1" applyBorder="1" applyAlignment="1">
      <x:alignment horizontal="right" vertical="center" wrapText="1"/>
    </x:xf>
    <x:xf numFmtId="210" fontId="7" fillId="0" borderId="0" xfId="0" applyNumberFormat="1" applyFont="1" applyFill="1" applyBorder="1" applyAlignment="1">
      <x:alignment horizontal="right" vertical="center" wrapText="1"/>
    </x:xf>
    <x:xf numFmtId="200" fontId="6" fillId="0" borderId="0" xfId="0" applyNumberFormat="1" applyFont="1" applyFill="1" applyBorder="1" applyAlignment="1">
      <x:alignment horizontal="right" vertical="center" wrapText="1"/>
    </x:xf>
    <x:xf numFmtId="200" fontId="7" fillId="0" borderId="0" xfId="0" applyNumberFormat="1" applyFont="1" applyFill="1" applyBorder="1" applyAlignment="1">
      <x:alignment horizontal="right" vertical="center" wrapText="1"/>
    </x:xf>
    <x:xf numFmtId="0" fontId="1" fillId="0" borderId="0" xfId="0" applyNumberFormat="1" applyFont="1" applyFill="1" applyBorder="1" applyAlignment="1">
      <x:alignment horizontal="right" vertical="center" wrapText="1"/>
    </x:xf>
    <x:xf numFmtId="0" fontId="8" fillId="2" borderId="0" xfId="0" applyNumberFormat="1" applyFont="1" applyFill="1" applyBorder="1" applyAlignment="1">
      <x:alignment horizontal="right" vertical="center" wrapText="1"/>
    </x:xf>
    <x:xf numFmtId="200" fontId="9" fillId="6" borderId="1" xfId="0" applyNumberFormat="1" applyFont="1" applyFill="1" applyBorder="1" applyAlignment="1">
      <x:alignment horizontal="right" vertical="center" wrapText="1"/>
    </x:xf>
    <x:xf numFmtId="200" fontId="10" fillId="6" borderId="1" xfId="0" applyNumberFormat="1" applyFont="1" applyFill="1" applyBorder="1" applyAlignment="1">
      <x:alignment horizontal="right" vertical="center" wrapText="1"/>
    </x:xf>
    <x:xf numFmtId="211" fontId="6" fillId="0" borderId="0" xfId="0" applyNumberFormat="1" applyFont="1" applyFill="1" applyBorder="1" applyAlignment="1">
      <x:alignment horizontal="right" vertical="center" wrapText="1"/>
    </x:xf>
    <x:xf numFmtId="211" fontId="7" fillId="0" borderId="0" xfId="0" applyNumberFormat="1" applyFont="1" applyFill="1" applyBorder="1" applyAlignment="1">
      <x:alignment horizontal="right" vertical="center" wrapText="1"/>
    </x:xf>
    <x:xf numFmtId="0" fontId="1" fillId="0" borderId="0" xfId="0" applyNumberFormat="1" applyFont="1" applyFill="1" applyBorder="1" applyAlignment="1">
      <x:alignment horizontal="right" vertical="center"/>
    </x:xf>
    <x:xf numFmtId="0" fontId="1" fillId="5" borderId="0" xfId="0" applyNumberFormat="1" applyFont="1" applyFill="1" applyBorder="1" applyAlignment="1">
      <x:alignment horizontal="right" vertical="center" wrapText="1"/>
    </x:xf>
    <x:xf numFmtId="0" fontId="0" fillId="0" borderId="0" xfId="0" applyNumberFormat="1" applyFont="1" applyFill="1" applyBorder="1" applyAlignment="1">
      <x:alignment horizontal="right"/>
    </x:xf>
    <x:xf numFmtId="208" fontId="6" fillId="0" borderId="0" xfId="0" applyNumberFormat="1" applyFont="1" applyFill="1" applyBorder="1" applyAlignment="1">
      <x:alignment horizontal="right" vertical="center" wrapText="1"/>
    </x:xf>
    <x:xf numFmtId="207" fontId="7" fillId="0" borderId="0" xfId="0" applyNumberFormat="1" applyFont="1" applyFill="1" applyBorder="1" applyAlignment="1">
      <x:alignment horizontal="right" vertical="center"/>
    </x:xf>
    <x:xf numFmtId="0" fontId="4" fillId="3" borderId="0" xfId="0" applyNumberFormat="1" applyFont="1" applyFill="1" applyBorder="1" applyAlignment="1">
      <x:alignment horizontal="right" vertical="center" wrapText="1"/>
    </x:xf>
    <x:xf numFmtId="207" fontId="7" fillId="0" borderId="0" xfId="0" applyNumberFormat="1" applyFont="1" applyFill="1" applyBorder="1" applyAlignment="1">
      <x:alignment horizontal="right" vertical="center" wrapText="1"/>
    </x:xf>
    <x:xf numFmtId="208" fontId="7" fillId="0" borderId="0" xfId="0" applyNumberFormat="1" applyFont="1" applyFill="1" applyBorder="1" applyAlignment="1">
      <x:alignment horizontal="right" vertical="center" wrapText="1"/>
    </x:xf>
    <x:xf numFmtId="0" fontId="1" fillId="7" borderId="0" xfId="0" applyNumberFormat="1" applyFont="1" applyFill="1" applyBorder="1" applyAlignment="1">
      <x:alignment horizontal="right"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horizontal="right" vertical="center"/>
    </x:xf>
  </x:cellXfs>
  <x:cellStyles count="1">
    <x:cellStyle name="Normal" xfId="0"/>
  </x:cellStyles>
  <x:dxfs count="2">
    <x:dxf>
      <x:font>
        <x:color rgb="FF146C43"/>
      </x:font>
      <x:fill>
        <x:patternFill patternType="solid">
          <x:bgColor rgb="FFDCF3E6"/>
        </x:patternFill>
      </x:fill>
    </x:dxf>
    <x:dxf>
      <x:font>
        <x:color rgb="FFB42318"/>
      </x:font>
      <x:fill>
        <x:patternFill patternType="solid">
          <x:bgColor rgb="FFFDE6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3ee7ca67054215" /><Relationship Type="http://schemas.openxmlformats.org/officeDocument/2006/relationships/theme" Target="/xl/theme/theme1.xml" Id="R0a6adebea27f41d5" /><Relationship Type="http://schemas.openxmlformats.org/officeDocument/2006/relationships/sharedStrings" Target="/xl/sharedStrings.xml" Id="R88c16d7db7364d90" /><Relationship Type="http://schemas.openxmlformats.org/officeDocument/2006/relationships/worksheet" Target="/xl/worksheets/sheet1.xml" Id="Rf09cbd88b0aa4a55" /><Relationship Type="http://schemas.openxmlformats.org/officeDocument/2006/relationships/worksheet" Target="/xl/worksheets/sheet2.xml" Id="R07577fea7c0949a8" /><Relationship Type="http://schemas.openxmlformats.org/officeDocument/2006/relationships/worksheet" Target="/xl/worksheets/sheet3.xml" Id="R0b95edb17d8f4164" /><Relationship Type="http://schemas.openxmlformats.org/officeDocument/2006/relationships/worksheet" Target="/xl/worksheets/sheet4.xml" Id="R9869808d90194271" /><Relationship Type="http://schemas.openxmlformats.org/officeDocument/2006/relationships/worksheet" Target="/xl/worksheets/sheet5.xml" Id="R496424bc89f74be0" /><Relationship Type="http://schemas.openxmlformats.org/officeDocument/2006/relationships/worksheet" Target="/xl/worksheets/sheet6.xml" Id="R9471df7ac3fd4f72" /><Relationship Type="http://schemas.openxmlformats.org/officeDocument/2006/relationships/worksheet" Target="/xl/worksheets/sheet7.xml" Id="Ra03526f403804544" /><Relationship Type="http://schemas.openxmlformats.org/officeDocument/2006/relationships/worksheet" Target="/xl/worksheets/sheet8.xml" Id="R847610ace15640ce" /><Relationship Type="http://schemas.openxmlformats.org/officeDocument/2006/relationships/worksheet" Target="/xl/worksheets/sheet9.xml" Id="R24a115bbeb9f4719" /><Relationship Type="http://schemas.openxmlformats.org/officeDocument/2006/relationships/worksheet" Target="/xl/worksheets/sheet10.xml" Id="R0cae200083784810" /><Relationship Type="http://schemas.microsoft.com/office/2017/10/relationships/person" Target="/xl/persons/person.xml" Id="R0c26cbd3756744b5" /></Relationships>
</file>

<file path=xl/drawings/_rels/drawing1.xml.rels>&#65279;<?xml version="1.0" encoding="utf-8"?><Relationships xmlns="http://schemas.openxmlformats.org/package/2006/relationships"><Relationship Type="http://schemas.openxmlformats.org/officeDocument/2006/relationships/chart" Target="/xl/drawings/charts/chart1.xml" Id="R66b1fcaa2cbd466f" /></Relationships>
</file>

<file path=xl/drawings/_rels/drawing2.xml.rels>&#65279;<?xml version="1.0" encoding="utf-8"?><Relationships xmlns="http://schemas.openxmlformats.org/package/2006/relationships"><Relationship Type="http://schemas.openxmlformats.org/officeDocument/2006/relationships/image" Target="/xl/media/image.png" Id="R44395d42faa541b7" /><Relationship Type="http://schemas.openxmlformats.org/officeDocument/2006/relationships/image" Target="/xl/media/image2.png" Id="R03b7374a6def47b1" /><Relationship Type="http://schemas.openxmlformats.org/officeDocument/2006/relationships/image" Target="/xl/media/image3.png" Id="R635d1d23ee214cf3" /><Relationship Type="http://schemas.openxmlformats.org/officeDocument/2006/relationships/image" Target="/xl/media/image4.png" Id="Rab60ace62b064b93" /><Relationship Type="http://schemas.openxmlformats.org/officeDocument/2006/relationships/image" Target="/xl/media/image5.png" Id="R5d30f684791b4418" /><Relationship Type="http://schemas.openxmlformats.org/officeDocument/2006/relationships/image" Target="/xl/media/image6.png" Id="R5b565a5eeb8a4d7c" /><Relationship Type="http://schemas.openxmlformats.org/officeDocument/2006/relationships/image" Target="/xl/media/image7.png" Id="Ra0690975fb1b48fa" /><Relationship Type="http://schemas.openxmlformats.org/officeDocument/2006/relationships/image" Target="/xl/media/image8.png" Id="R31c1526dba6f423b" /><Relationship Type="http://schemas.openxmlformats.org/officeDocument/2006/relationships/image" Target="/xl/media/image9.png" Id="R666c95b9a40c41c8" /><Relationship Type="http://schemas.openxmlformats.org/officeDocument/2006/relationships/image" Target="/xl/media/image10.png" Id="R52d20bf20407452b" /><Relationship Type="http://schemas.openxmlformats.org/officeDocument/2006/relationships/image" Target="/xl/media/image11.png" Id="Rfe88b29669614b79" /><Relationship Type="http://schemas.openxmlformats.org/officeDocument/2006/relationships/image" Target="/xl/media/image12.png" Id="Ra0e6d172b2b9426e" /><Relationship Type="http://schemas.openxmlformats.org/officeDocument/2006/relationships/image" Target="/xl/media/image13.png" Id="R0c37d6e41ff44690" /><Relationship Type="http://schemas.openxmlformats.org/officeDocument/2006/relationships/image" Target="/xl/media/image14.png" Id="R6c7c5e18ab064532" /><Relationship Type="http://schemas.openxmlformats.org/officeDocument/2006/relationships/image" Target="/xl/media/image15.png" Id="R499e20130d5443a1" /><Relationship Type="http://schemas.openxmlformats.org/officeDocument/2006/relationships/image" Target="/xl/media/image16.png" Id="R94ddac0ab6f94b4a" /><Relationship Type="http://schemas.openxmlformats.org/officeDocument/2006/relationships/image" Target="/xl/media/image17.png" Id="R77ea36169d694cc6" /><Relationship Type="http://schemas.openxmlformats.org/officeDocument/2006/relationships/image" Target="/xl/media/image18.png" Id="Rd3bb98d4a240475f" /><Relationship Type="http://schemas.openxmlformats.org/officeDocument/2006/relationships/image" Target="/xl/media/image19.png" Id="R2adf4c4b66ec418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Higher bond price lowers package MTM (USD)</a:t>
            </a:r>
          </a:p>
        </c:rich>
      </c:tx>
      <c:overlay val="0"/>
      <c:txPr>
        <a:bodyPr xmlns:a="http://schemas.openxmlformats.org/drawingml/2006/main" anchorCtr="1"/>
        <a:lstStyle xmlns:a="http://schemas.openxmlformats.org/drawingml/2006/main"/>
        <a:p xmlns:a="http://schemas.openxmlformats.org/drawingml/2006/main">
          <a:pPr>
            <a:defRPr sz="975"/>
          </a:pPr>
        </a:p>
      </c:txPr>
    </c:title>
    <c:plotArea>
      <c:lineChart>
        <c:grouping val="standard"/>
        <c:varyColors val="0"/>
        <c:ser>
          <c:idx val="0"/>
          <c:order val="0"/>
          <c:tx>
            <c:v>Closing MTM</c:v>
          </c:tx>
          <c:spPr>
            <a:solidFill xmlns:a="http://schemas.openxmlformats.org/drawingml/2006/main">
              <a:srgbClr val="006B68"/>
            </a:solidFill>
          </c:spPr>
          <c:marker>
            <c:symbol val="none"/>
          </c:marker>
          <c:cat>
            <c:strRef>
              <c:f>'Price Sensitivity'!$A$5:$A$13</c:f>
              <c:strCache>
                <c:ptCount val="0"/>
              </c:strCache>
            </c:strRef>
          </c:cat>
          <c:val>
            <c:numRef>
              <c:f>'Price Sensitivity'!$C$5:$C$13</c:f>
              <c:numCache>
                <c:formatCode>#,##0;(#,##0)</c:formatCode>
                <c:ptCount val="0"/>
              </c:numCache>
            </c:numRef>
          </c:val>
          <c:smooth val="0"/>
        </c:ser>
        <c:ser>
          <c:idx val="1"/>
          <c:order val="1"/>
          <c:tx>
            <c:v>Reported YTD</c:v>
          </c:tx>
          <c:spPr>
            <a:solidFill xmlns:a="http://schemas.openxmlformats.org/drawingml/2006/main">
              <a:srgbClr val="4F70A7"/>
            </a:solidFill>
          </c:spPr>
          <c:marker>
            <c:symbol val="none"/>
          </c:marker>
          <c:cat>
            <c:strRef>
              <c:f>'Price Sensitivity'!$A$5:$A$13</c:f>
              <c:strCache>
                <c:ptCount val="0"/>
              </c:strCache>
            </c:strRef>
          </c:cat>
          <c:val>
            <c:numRef>
              <c:f>'Price Sensitivity'!$D$5:$D$13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00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7</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b1fcaa2cbd466f"/>
        </a:graphicData>
      </a:graphic>
    </xdr:graphicFrame>
    <xdr:clientData/>
  </xdr:twoCellAnchor>
</xdr:wsDr>
</file>

<file path=xl/drawings/drawing2.xml><?xml version="1.0" encoding="utf-8"?>
<xdr:wsDr xmlns:xdr="http://schemas.openxmlformats.org/drawingml/2006/spreadsheetDrawing">
  <xdr:oneCellAnchor>
    <xdr:from>
      <xdr:col>0</xdr:col>
      <xdr:colOff>0</xdr:colOff>
      <xdr:row>5</xdr:row>
      <xdr:rowOff>0</xdr:rowOff>
    </xdr:from>
    <xdr:ext cx="17278350" cy="1028700"/>
    <xdr:pic>
      <xdr:nvPicPr>
        <xdr:cNvPr id="1" name="38ee5753-2a99-4de3-8780-279331054286"/>
        <xdr:cNvPicPr>
          <a:picLocks xmlns:a="http://schemas.openxmlformats.org/drawingml/2006/main" noChangeAspect="1"/>
        </xdr:cNvPicPr>
      </xdr:nvPicPr>
      <xdr:blipFill>
        <a:blip xmlns:r="http://schemas.openxmlformats.org/officeDocument/2006/relationships" xmlns:a="http://schemas.openxmlformats.org/drawingml/2006/main" r:embed="R44395d42faa541b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xdr:row>
      <xdr:rowOff>0</xdr:rowOff>
    </xdr:from>
    <xdr:ext cx="17135475" cy="1047750"/>
    <xdr:pic>
      <xdr:nvPicPr>
        <xdr:cNvPr id="2" name="fd1e4e39-57ab-4f5f-821f-9d03d278e0cd"/>
        <xdr:cNvPicPr>
          <a:picLocks xmlns:a="http://schemas.openxmlformats.org/drawingml/2006/main" noChangeAspect="1"/>
        </xdr:cNvPicPr>
      </xdr:nvPicPr>
      <xdr:blipFill>
        <a:blip xmlns:r="http://schemas.openxmlformats.org/officeDocument/2006/relationships" xmlns:a="http://schemas.openxmlformats.org/drawingml/2006/main" r:embed="R03b7374a6def47b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19</xdr:row>
      <xdr:rowOff>0</xdr:rowOff>
    </xdr:from>
    <xdr:ext cx="17306925" cy="952500"/>
    <xdr:pic>
      <xdr:nvPicPr>
        <xdr:cNvPr id="3" name="fbad00eb-1edb-4ece-afda-fa7c093c04ee"/>
        <xdr:cNvPicPr>
          <a:picLocks xmlns:a="http://schemas.openxmlformats.org/drawingml/2006/main" noChangeAspect="1"/>
        </xdr:cNvPicPr>
      </xdr:nvPicPr>
      <xdr:blipFill>
        <a:blip xmlns:r="http://schemas.openxmlformats.org/officeDocument/2006/relationships" xmlns:a="http://schemas.openxmlformats.org/drawingml/2006/main" r:embed="R635d1d23ee214cf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26</xdr:row>
      <xdr:rowOff>0</xdr:rowOff>
    </xdr:from>
    <xdr:ext cx="17545050" cy="847725"/>
    <xdr:pic>
      <xdr:nvPicPr>
        <xdr:cNvPr id="4" name="edae16ac-cd40-4413-b931-f691d6fe6097"/>
        <xdr:cNvPicPr>
          <a:picLocks xmlns:a="http://schemas.openxmlformats.org/drawingml/2006/main" noChangeAspect="1"/>
        </xdr:cNvPicPr>
      </xdr:nvPicPr>
      <xdr:blipFill>
        <a:blip xmlns:r="http://schemas.openxmlformats.org/officeDocument/2006/relationships" xmlns:a="http://schemas.openxmlformats.org/drawingml/2006/main" r:embed="Rab60ace62b064b9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32</xdr:row>
      <xdr:rowOff>0</xdr:rowOff>
    </xdr:from>
    <xdr:ext cx="17735550" cy="1285875"/>
    <xdr:pic>
      <xdr:nvPicPr>
        <xdr:cNvPr id="5" name="6ad89525-3030-4390-a696-709afa254639"/>
        <xdr:cNvPicPr>
          <a:picLocks xmlns:a="http://schemas.openxmlformats.org/drawingml/2006/main" noChangeAspect="1"/>
        </xdr:cNvPicPr>
      </xdr:nvPicPr>
      <xdr:blipFill>
        <a:blip xmlns:r="http://schemas.openxmlformats.org/officeDocument/2006/relationships" xmlns:a="http://schemas.openxmlformats.org/drawingml/2006/main" r:embed="R5d30f684791b441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40</xdr:row>
      <xdr:rowOff>0</xdr:rowOff>
    </xdr:from>
    <xdr:ext cx="17373600" cy="1276350"/>
    <xdr:pic>
      <xdr:nvPicPr>
        <xdr:cNvPr id="6" name="36b50fd4-1df2-48dc-be3d-b33288b85a26"/>
        <xdr:cNvPicPr>
          <a:picLocks xmlns:a="http://schemas.openxmlformats.org/drawingml/2006/main" noChangeAspect="1"/>
        </xdr:cNvPicPr>
      </xdr:nvPicPr>
      <xdr:blipFill>
        <a:blip xmlns:r="http://schemas.openxmlformats.org/officeDocument/2006/relationships" xmlns:a="http://schemas.openxmlformats.org/drawingml/2006/main" r:embed="R5b565a5eeb8a4d7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48</xdr:row>
      <xdr:rowOff>0</xdr:rowOff>
    </xdr:from>
    <xdr:ext cx="17125950" cy="1552575"/>
    <xdr:pic>
      <xdr:nvPicPr>
        <xdr:cNvPr id="7" name="45129f9d-1c9a-4736-a48e-5510a205334a"/>
        <xdr:cNvPicPr>
          <a:picLocks xmlns:a="http://schemas.openxmlformats.org/drawingml/2006/main" noChangeAspect="1"/>
        </xdr:cNvPicPr>
      </xdr:nvPicPr>
      <xdr:blipFill>
        <a:blip xmlns:r="http://schemas.openxmlformats.org/officeDocument/2006/relationships" xmlns:a="http://schemas.openxmlformats.org/drawingml/2006/main" r:embed="Ra0690975fb1b48f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57</xdr:row>
      <xdr:rowOff>0</xdr:rowOff>
    </xdr:from>
    <xdr:ext cx="17173575" cy="1295400"/>
    <xdr:pic>
      <xdr:nvPicPr>
        <xdr:cNvPr id="8" name="874e3987-0634-40e4-92ec-b6f2a375e2df"/>
        <xdr:cNvPicPr>
          <a:picLocks xmlns:a="http://schemas.openxmlformats.org/drawingml/2006/main" noChangeAspect="1"/>
        </xdr:cNvPicPr>
      </xdr:nvPicPr>
      <xdr:blipFill>
        <a:blip xmlns:r="http://schemas.openxmlformats.org/officeDocument/2006/relationships" xmlns:a="http://schemas.openxmlformats.org/drawingml/2006/main" r:embed="R31c1526dba6f423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65</xdr:row>
      <xdr:rowOff>0</xdr:rowOff>
    </xdr:from>
    <xdr:ext cx="16506825" cy="1266825"/>
    <xdr:pic>
      <xdr:nvPicPr>
        <xdr:cNvPr id="9" name="026b2a6a-b0e6-4424-885c-630cc128fbd0"/>
        <xdr:cNvPicPr>
          <a:picLocks xmlns:a="http://schemas.openxmlformats.org/drawingml/2006/main" noChangeAspect="1"/>
        </xdr:cNvPicPr>
      </xdr:nvPicPr>
      <xdr:blipFill>
        <a:blip xmlns:r="http://schemas.openxmlformats.org/officeDocument/2006/relationships" xmlns:a="http://schemas.openxmlformats.org/drawingml/2006/main" r:embed="R666c95b9a40c41c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73</xdr:row>
      <xdr:rowOff>0</xdr:rowOff>
    </xdr:from>
    <xdr:ext cx="17087850" cy="1285875"/>
    <xdr:pic>
      <xdr:nvPicPr>
        <xdr:cNvPr id="10" name="d5398d28-03e9-43b5-9ee3-d50c397a454a"/>
        <xdr:cNvPicPr>
          <a:picLocks xmlns:a="http://schemas.openxmlformats.org/drawingml/2006/main" noChangeAspect="1"/>
        </xdr:cNvPicPr>
      </xdr:nvPicPr>
      <xdr:blipFill>
        <a:blip xmlns:r="http://schemas.openxmlformats.org/officeDocument/2006/relationships" xmlns:a="http://schemas.openxmlformats.org/drawingml/2006/main" r:embed="R52d20bf20407452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81</xdr:row>
      <xdr:rowOff>0</xdr:rowOff>
    </xdr:from>
    <xdr:ext cx="17078325" cy="1285875"/>
    <xdr:pic>
      <xdr:nvPicPr>
        <xdr:cNvPr id="11" name="df56c1a9-baaa-4588-ae2d-b2c52086adff"/>
        <xdr:cNvPicPr>
          <a:picLocks xmlns:a="http://schemas.openxmlformats.org/drawingml/2006/main" noChangeAspect="1"/>
        </xdr:cNvPicPr>
      </xdr:nvPicPr>
      <xdr:blipFill>
        <a:blip xmlns:r="http://schemas.openxmlformats.org/officeDocument/2006/relationships" xmlns:a="http://schemas.openxmlformats.org/drawingml/2006/main" r:embed="Rfe88b29669614b7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89</xdr:row>
      <xdr:rowOff>0</xdr:rowOff>
    </xdr:from>
    <xdr:ext cx="15725775" cy="1238250"/>
    <xdr:pic>
      <xdr:nvPicPr>
        <xdr:cNvPr id="12" name="b88b0eae-8d39-4237-9a90-15d7999e8e35"/>
        <xdr:cNvPicPr>
          <a:picLocks xmlns:a="http://schemas.openxmlformats.org/drawingml/2006/main" noChangeAspect="1"/>
        </xdr:cNvPicPr>
      </xdr:nvPicPr>
      <xdr:blipFill>
        <a:blip xmlns:r="http://schemas.openxmlformats.org/officeDocument/2006/relationships" xmlns:a="http://schemas.openxmlformats.org/drawingml/2006/main" r:embed="Ra0e6d172b2b9426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97</xdr:row>
      <xdr:rowOff>0</xdr:rowOff>
    </xdr:from>
    <xdr:ext cx="16735425" cy="1409700"/>
    <xdr:pic>
      <xdr:nvPicPr>
        <xdr:cNvPr id="13" name="78e974ac-e609-4dc5-8724-98c9f5e1cfd1"/>
        <xdr:cNvPicPr>
          <a:picLocks xmlns:a="http://schemas.openxmlformats.org/drawingml/2006/main" noChangeAspect="1"/>
        </xdr:cNvPicPr>
      </xdr:nvPicPr>
      <xdr:blipFill>
        <a:blip xmlns:r="http://schemas.openxmlformats.org/officeDocument/2006/relationships" xmlns:a="http://schemas.openxmlformats.org/drawingml/2006/main" r:embed="R0c37d6e41ff4469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105</xdr:row>
      <xdr:rowOff>0</xdr:rowOff>
    </xdr:from>
    <xdr:ext cx="17011650" cy="1276350"/>
    <xdr:pic>
      <xdr:nvPicPr>
        <xdr:cNvPr id="14" name="cbb7998d-a9ba-4e79-8474-618d487a1366"/>
        <xdr:cNvPicPr>
          <a:picLocks xmlns:a="http://schemas.openxmlformats.org/drawingml/2006/main" noChangeAspect="1"/>
        </xdr:cNvPicPr>
      </xdr:nvPicPr>
      <xdr:blipFill>
        <a:blip xmlns:r="http://schemas.openxmlformats.org/officeDocument/2006/relationships" xmlns:a="http://schemas.openxmlformats.org/drawingml/2006/main" r:embed="R6c7c5e18ab06453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113</xdr:row>
      <xdr:rowOff>0</xdr:rowOff>
    </xdr:from>
    <xdr:ext cx="17259300" cy="1304925"/>
    <xdr:pic>
      <xdr:nvPicPr>
        <xdr:cNvPr id="15" name="6728c0a2-caa3-4184-86c7-36e6a60c903c"/>
        <xdr:cNvPicPr>
          <a:picLocks xmlns:a="http://schemas.openxmlformats.org/drawingml/2006/main" noChangeAspect="1"/>
        </xdr:cNvPicPr>
      </xdr:nvPicPr>
      <xdr:blipFill>
        <a:blip xmlns:r="http://schemas.openxmlformats.org/officeDocument/2006/relationships" xmlns:a="http://schemas.openxmlformats.org/drawingml/2006/main" r:embed="R499e20130d5443a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121</xdr:row>
      <xdr:rowOff>0</xdr:rowOff>
    </xdr:from>
    <xdr:ext cx="17383125" cy="1400175"/>
    <xdr:pic>
      <xdr:nvPicPr>
        <xdr:cNvPr id="16" name="60de3f30-d6d8-429f-9ade-f009c526330b"/>
        <xdr:cNvPicPr>
          <a:picLocks xmlns:a="http://schemas.openxmlformats.org/drawingml/2006/main" noChangeAspect="1"/>
        </xdr:cNvPicPr>
      </xdr:nvPicPr>
      <xdr:blipFill>
        <a:blip xmlns:r="http://schemas.openxmlformats.org/officeDocument/2006/relationships" xmlns:a="http://schemas.openxmlformats.org/drawingml/2006/main" r:embed="R94ddac0ab6f94b4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129</xdr:row>
      <xdr:rowOff>0</xdr:rowOff>
    </xdr:from>
    <xdr:ext cx="6800850" cy="1266825"/>
    <xdr:pic>
      <xdr:nvPicPr>
        <xdr:cNvPr id="17" name="9d3e61b1-44a2-4028-af1f-dbe7d62bb9be"/>
        <xdr:cNvPicPr>
          <a:picLocks xmlns:a="http://schemas.openxmlformats.org/drawingml/2006/main" noChangeAspect="1"/>
        </xdr:cNvPicPr>
      </xdr:nvPicPr>
      <xdr:blipFill>
        <a:blip xmlns:r="http://schemas.openxmlformats.org/officeDocument/2006/relationships" xmlns:a="http://schemas.openxmlformats.org/drawingml/2006/main" r:embed="R77ea36169d694cc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137</xdr:row>
      <xdr:rowOff>0</xdr:rowOff>
    </xdr:from>
    <xdr:ext cx="15306675" cy="981075"/>
    <xdr:pic>
      <xdr:nvPicPr>
        <xdr:cNvPr id="18" name="ec8e0e4f-d38d-4f43-95f5-978f7ba309b8"/>
        <xdr:cNvPicPr>
          <a:picLocks xmlns:a="http://schemas.openxmlformats.org/drawingml/2006/main" noChangeAspect="1"/>
        </xdr:cNvPicPr>
      </xdr:nvPicPr>
      <xdr:blipFill>
        <a:blip xmlns:r="http://schemas.openxmlformats.org/officeDocument/2006/relationships" xmlns:a="http://schemas.openxmlformats.org/drawingml/2006/main" r:embed="Rd3bb98d4a240475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144</xdr:row>
      <xdr:rowOff>0</xdr:rowOff>
    </xdr:from>
    <xdr:ext cx="7210425" cy="3714750"/>
    <xdr:pic>
      <xdr:nvPicPr>
        <xdr:cNvPr id="19" name="470a9520-0c37-430b-bb56-c6f27b277880"/>
        <xdr:cNvPicPr>
          <a:picLocks xmlns:a="http://schemas.openxmlformats.org/drawingml/2006/main" noChangeAspect="1"/>
        </xdr:cNvPicPr>
      </xdr:nvPicPr>
      <xdr:blipFill>
        <a:blip xmlns:r="http://schemas.openxmlformats.org/officeDocument/2006/relationships" xmlns:a="http://schemas.openxmlformats.org/drawingml/2006/main" r:embed="R2adf4c4b66ec4185"/>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Kwok" id="{1876A7EE-C7A4-4674-B574-E1272150C974}"/>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6" dT="2026-09-08T04:31:41.639" personId="{1876A7EE-C7A4-4674-B574-E1272150C974}" id="{CC516448-2EEA-4243-8E1C-2AF0F283ED6A}">
    <xltc:text>User-provided EOD bond price for 4 August 2026, per 100 nominal. This is the single scenario input.</xltc:text>
  </xltc:threadedComment>
</xltc:ThreadedComments>
</file>

<file path=xl/threadedcomments/threadedcomment2.xml><?xml version="1.0" encoding="utf-8"?>
<xltc:ThreadedComments xmlns:xltc="http://schemas.microsoft.com/office/spreadsheetml/2018/threadedcomments">
  <xltc:threadedComment ref="B17" dT="2026-09-08T04:31:41.541" personId="{1876A7EE-C7A4-4674-B574-E1272150C974}" id="{4E1A7772-1565-485A-BA28-3AA92954F546}">
    <xltc:text>Source-aligned closing balance reconstruction. The screenshot only supplies accrued funding and a zero MTM_LIBOR field; this is not proof of the independently discounted value of all remaining contractual cash flows.</xltc:text>
  </xltc:threadedComment>
</xltc:ThreadedComments>
</file>

<file path=xl/threadedcomments/threadedcomment3.xml><?xml version="1.0" encoding="utf-8"?>
<xltc:ThreadedComments xmlns:xltc="http://schemas.microsoft.com/office/spreadsheetml/2018/threadedcomments">
  <xltc:threadedComment ref="B5" dT="2026-09-08T04:31:41.466" personId="{1876A7EE-C7A4-4674-B574-E1272150C974}" id="{C3C45C43-062E-400F-8E79-75C08D451681}">
    <xltc:text>TRS.xlsx / I05 / A; I17 / BT. Model is for this fixed valuation date.</xltc:text>
  </xltc:threadedComment>
  <xltc:threadedComment ref="B6" dT="2026-09-08T04:31:41.466" personId="{1876A7EE-C7A4-4674-B574-E1272150C974}" id="{0B64B46A-23C1-40EE-91B6-647103607E8C}">
    <xltc:text>TRS.xlsx / User instruction and I18 / B. Price Input!C6 is the scenario control.</xltc:text>
  </xltc:threadedComment>
  <xltc:threadedComment ref="B7" dT="2026-09-08T04:31:41.467" personId="{1876A7EE-C7A4-4674-B574-E1272150C974}" id="{7B7631D1-5B39-48F7-B4C5-9088076D11E8}">
    <xltc:text>TRS.xlsx / I03 / AB and I05 / T. SELL / pay total return.</xltc:text>
  </xltc:threadedComment>
  <xltc:threadedComment ref="B8" dT="2026-09-08T04:31:41.467" personId="{1876A7EE-C7A4-4674-B574-E1272150C974}" id="{0536EC7D-E5E3-4431-A11A-DCAB47E12B79}">
    <xltc:text>TRS.xlsx / I03 / AH and I19, both swap legs.</xltc:text>
  </xltc:threadedComment>
  <xltc:threadedComment ref="B9" dT="2026-09-08T04:31:41.467" personId="{1876A7EE-C7A4-4674-B574-E1272150C974}" id="{A5F87BA8-603F-4AA5-BF64-636F1585D667}">
    <xltc:text>TRS.xlsx / I01, I02 / S and I19: SOFR + 62.30 bp.</xltc:text>
  </xltc:threadedComment>
  <xltc:threadedComment ref="B10" dT="2026-09-08T04:31:41.468" personId="{1876A7EE-C7A4-4674-B574-E1272150C974}" id="{6FBF48B0-F636-4E05-8DAE-17F948E80B3A}">
    <xltc:text>TRS.xlsx / I19: receive FIXED 4.3%; A360.</xltc:text>
  </xltc:threadedComment>
  <xltc:threadedComment ref="B11" dT="2026-09-08T04:31:41.468" personId="{1876A7EE-C7A4-4674-B574-E1272150C974}" id="{07EB00EF-0AE9-42B1-9AAE-B28FC92F8679}">
    <xltc:text>TRS.xlsx / I01 product description: SDBC 3.02, 2305 / 10Y.</xltc:text>
  </xltc:threadedComment>
  <xltc:threadedComment ref="B12" dT="2026-09-08T04:31:41.468" personId="{1876A7EE-C7A4-4674-B574-E1272150C974}" id="{B157D582-F557-40EC-9E59-68E0D9E7655E}">
    <xltc:text>TRS.xlsx / I02 in MM/DD/YYYY, confirmed by I06 in DD/MM/YYYY.</xltc:text>
  </xltc:threadedComment>
  <xltc:threadedComment ref="B13" dT="2026-09-08T04:31:41.468" personId="{1876A7EE-C7A4-4674-B574-E1272150C974}" id="{F1CF2F60-8997-446F-801C-D97DEBFCB0FC}">
    <xltc:text>TRS.xlsx / I02 and I19: 11 June 2026.</xltc:text>
  </xltc:threadedComment>
  <xltc:threadedComment ref="B14" dT="2026-09-08T04:31:41.469" personId="{1876A7EE-C7A4-4674-B574-E1272150C974}" id="{33963667-929E-4C98-A2B6-B56417E19808}">
    <xltc:text>TRS.xlsx / I02 and I19. The report swap row instead displays 22 September; see row 16.</xltc:text>
  </xltc:threadedComment>
  <xltc:threadedComment ref="B15" dT="2026-09-08T04:31:41.469" personId="{1876A7EE-C7A4-4674-B574-E1272150C974}" id="{8E2AF3DE-0DAE-48EE-9429-5AFFF56C1BB8}">
    <xltc:text>TRS.xlsx / I01: 03/06/2033, read as 6 March. Coupon-date inference is corroborated by the reported accrued interest, not independently confirmed by a term sheet.</xltc:text>
  </xltc:threadedComment>
  <xltc:threadedComment ref="B16" dT="2026-09-08T04:31:41.469" personId="{1876A7EE-C7A4-4674-B574-E1272150C974}" id="{8BEC088E-6A33-4C07-8874-6D9646E13D4F}">
    <xltc:text>TRS.xlsx / I06 / AF, swap row. Preserve this discrepancy; supplied PV is used without repricing.</xltc:text>
  </xltc:threadedComment>
  <xltc:threadedComment ref="B19" dT="2026-09-08T04:31:41.47" personId="{1876A7EE-C7A4-4674-B574-E1272150C974}" id="{9C7E7C13-ADD6-44EF-9D65-55FB9F4538F3}">
    <xltc:text>TRS.xlsx / I01 / I and product description.</xltc:text>
  </xltc:threadedComment>
  <xltc:threadedComment ref="B20" dT="2026-09-08T04:31:41.47" personId="{1876A7EE-C7A4-4674-B574-E1272150C974}" id="{94D75E02-B5EB-444D-988A-0207D1BA6402}">
    <xltc:text>TRS.xlsx / I18 / A.</xltc:text>
  </xltc:threadedComment>
  <xltc:threadedComment ref="B21" dT="2026-09-08T04:31:41.47" personId="{1876A7EE-C7A4-4674-B574-E1272150C974}" id="{6EB584FC-13AC-4F81-B034-29E8BE99EF9C}">
    <xltc:text>TRS.xlsx / I01 / A-B.</xltc:text>
  </xltc:threadedComment>
  <xltc:threadedComment ref="B22" dT="2026-09-08T04:31:41.47" personId="{1876A7EE-C7A4-4674-B574-E1272150C974}" id="{B4275453-B181-4569-944D-9CE1F93D2244}">
    <xltc:text>TRS.xlsx / I05 / G; I19 ticket.</xltc:text>
  </xltc:threadedComment>
  <xltc:threadedComment ref="B25" dT="2026-09-08T04:31:41.47" personId="{1876A7EE-C7A4-4674-B574-E1272150C974}" id="{4C4FA08A-A3A8-422D-BF6A-FD0FE03E871F}">
    <xltc:text>TRS.xlsx / Prices quoted per 100 face value; this is a unit conversion, not a market assumption.</xltc:text>
  </xltc:threadedComment>
  <xltc:threadedComment ref="B26" dT="2026-09-08T04:31:41.471" personId="{1876A7EE-C7A4-4674-B574-E1272150C974}" id="{3FAF6565-E368-44A0-975C-566D40B98760}">
    <xltc:text>TRS.xlsx / 10,000 basis points = 100%.</xltc:text>
  </xltc:threadedComment>
  <xltc:threadedComment ref="B27" dT="2026-09-08T04:31:41.471" personId="{1876A7EE-C7A4-4674-B574-E1272150C974}" id="{E4A795FB-90B8-4EEA-8949-EDDD5219F4FA}">
    <xltc:text>TRS.xlsx / I19 A360. TRS matching convention must be confirmed before independent funding mode.</xltc:text>
  </xltc:threadedComment>
  <xltc:threadedComment ref="B29" dT="2026-09-08T04:31:41.471" personId="{1876A7EE-C7A4-4674-B574-E1272150C974}" id="{59855A06-31B7-4D86-A0A3-BA4C8C70FD32}">
    <xltc:text>TRS.xlsx / Rounding per-100 AI to five decimals exactly matches I04 AI_TR. This is an inference, not a confirmed contractual rule.</xltc:text>
  </xltc:threadedComment>
  <xltc:threadedComment ref="B30" dT="2026-09-08T04:31:41.471" personId="{1876A7EE-C7A4-4674-B574-E1272150C974}" id="{57A56C6D-9557-4827-81AC-2CF71B1607C0}">
    <xltc:text>TRS.xlsx / CNY balance / translated USD balance implies 6.7527 CNY per USD.</xltc:text>
  </xltc:threadedComment>
  <xltc:threadedComment ref="B31" dT="2026-09-08T04:31:41.472" personId="{1876A7EE-C7A4-4674-B574-E1272150C974}" id="{800B1892-CC6F-43EA-8B5D-66B87A31A3A7}">
    <xltc:text>TRS.xlsx / Report leg balances are shown to cents.</xltc:text>
  </xltc:threadedComment>
  <xltc:threadedComment ref="B32" dT="2026-09-08T04:31:41.472" personId="{1876A7EE-C7A4-4674-B574-E1272150C974}" id="{80D16DF7-BBFF-4A1F-9C19-121DC14068E7}">
    <xltc:text>TRS.xlsx / Zero for formula guards and missing cash explicitly shown as zero.</xltc:text>
  </xltc:threadedComment>
  <xltc:threadedComment ref="B33" dT="2026-09-08T04:31:41.472" personId="{1876A7EE-C7A4-4674-B574-E1272150C974}" id="{29E5216D-971C-4998-8FC8-77FD9006A627}">
    <xltc:text>TRS.xlsx / Unit for date progression and factor arithmetic.</xltc:text>
  </xltc:threadedComment>
  <xltc:threadedComment ref="B34" dT="2026-09-08T04:31:41.473" personId="{1876A7EE-C7A4-4674-B574-E1272150C974}" id="{5BB56FEB-1182-468E-90E8-F714B3C5D45E}">
    <xltc:text>TRS.xlsx / Analytical scenario control, not a historical market input.</xltc:text>
  </xltc:threadedComment>
  <xltc:threadedComment ref="B35" dT="2026-09-08T04:31:41.473" personId="{1876A7EE-C7A4-4674-B574-E1272150C974}" id="{EC389209-203B-4708-815F-0CCEB168D091}">
    <xltc:text>TRS.xlsx / One-cent rounding tolerance.</xltc:text>
  </xltc:threadedComment>
  <xltc:threadedComment ref="B36" dT="2026-09-08T04:31:41.473" personId="{1876A7EE-C7A4-4674-B574-E1272150C974}" id="{1139CF4B-5041-467C-B9F9-F105BCD48DFE}">
    <xltc:text>TRS.xlsx / Allows rounding of the separately displayed source leg amounts and FX.</xltc:text>
  </xltc:threadedComment>
  <xltc:threadedComment ref="B53" dT="2026-09-08T04:31:41.473" personId="{1876A7EE-C7A4-4674-B574-E1272150C974}" id="{EAB6C855-D26B-4E2F-BFB7-8F588F4E2E96}">
    <xltc:text>TRS.xlsx / Choose Simple average or Daily compounded only after checking the TRS confirmation, fixing lag, observation calendar and spread treatment.</xltc:text>
  </xltc:threadedComment>
  <xltc:threadedComment ref="B17" dT="2026-09-08T04:31:41.476" personId="{1876A7EE-C7A4-4674-B574-E1272150C974}" id="{1E079DD4-7BDB-46A0-84D6-E98D43C901FE}">
    <xltc:text>I07 and I09. Use this provided value; no swap repricing.</xltc:text>
  </xltc:threadedComment>
  <xltc:threadedComment ref="B18" dT="2026-09-08T04:31:41.476" personId="{1876A7EE-C7A4-4674-B574-E1272150C974}" id="{F0B315EE-FFC1-4258-BB14-F298EB063FFE}">
    <xltc:text>I05. Already included in the supplied PV; do not add to package a second time.</xltc:text>
  </xltc:threadedComment>
  <xltc:threadedComment ref="B28" dT="2026-09-08T04:31:41.479" personId="{1876A7EE-C7A4-4674-B574-E1272150C974}" id="{9250B03B-4933-48E5-8944-9522A23FF1A5}">
    <xltc:text>Annual coupon period inferred from the bond maturity description and AI consistency.</xltc:text>
  </xltc:threadedComment>
  <xltc:threadedComment ref="B38" dT="2026-09-08T04:31:41.479" personId="{1876A7EE-C7A4-4674-B574-E1272150C974}" id="{47FBF84D-F186-4AEB-AF37-38C634EA5350}">
    <xltc:text>Derived from matching CNY and USD BS rows. This is not an independently supplied FX quote.</xltc:text>
  </xltc:threadedComment>
  <xltc:threadedComment ref="B39" dT="2026-09-08T04:31:41.48" personId="{1876A7EE-C7A4-4674-B574-E1272150C974}" id="{9F8B1E5B-DE72-407E-94B0-F600C898B54A}">
    <xltc:text>Source AI_TR converted into per-100 units.</xltc:text>
  </xltc:threadedComment>
  <xltc:threadedComment ref="B40" dT="2026-09-08T04:31:41.481" personId="{1876A7EE-C7A4-4674-B574-E1272150C974}" id="{485CCFA1-D81F-409B-8FEB-98DA8BEA4908}">
    <xltc:text>Nearest whole number of coupon-accrual days implied by the report.</xltc:text>
  </xltc:threadedComment>
  <xltc:threadedComment ref="B41" dT="2026-09-08T04:31:41.481" personId="{1876A7EE-C7A4-4674-B574-E1272150C974}" id="{99F888DB-1851-475D-8F56-20FF8EF85942}">
    <xltc:text>6 March 2026; verify the actual bond schedule for independent valuation.</xltc:text>
  </xltc:threadedComment>
  <xltc:threadedComment ref="B42" dT="2026-09-08T04:31:41.481" personId="{1876A7EE-C7A4-4674-B574-E1272150C974}" id="{8FE7A71E-7B36-42E7-BF3B-629DFFD21028}">
    <xltc:text>152 days imply 5 August, one day after the stated valuation date. This may be a settlement convention.</xltc:text>
  </xltc:threadedComment>
  <xltc:threadedComment ref="B43" dT="2026-09-08T04:31:41.482" personId="{1876A7EE-C7A4-4674-B574-E1272150C974}" id="{1EA346C7-91F9-4335-861B-852E861F3834}">
    <xltc:text>Report preserves this basis. The file also shows a strict 4-Aug comparison.</xltc:text>
  </xltc:threadedComment>
  <xltc:threadedComment ref="B44" dT="2026-09-08T04:31:41.482" personId="{1876A7EE-C7A4-4674-B574-E1272150C974}" id="{59CF5857-B0F0-41F9-AACD-744EE2D08775}">
    <xltc:text>151 days from 6 March to 4 August.</xltc:text>
  </xltc:threadedComment>
  <xltc:threadedComment ref="B45" dT="2026-09-08T04:31:41.483" personId="{1876A7EE-C7A4-4674-B574-E1272150C974}" id="{B28AE230-94B1-472D-9452-B2B204FA0985}">
    <xltc:text>55 days only if USD funding uses the same cut-off; not confirmed by the screenshots.</xltc:text>
  </xltc:threadedComment>
  <xltc:threadedComment ref="B46" dT="2026-09-08T04:31:41.483" personId="{1876A7EE-C7A4-4674-B574-E1272150C974}" id="{83D0B43E-C2B0-4443-9BDB-BFEEF0E7BC3A}">
    <xltc:text>Historical SOFR fixings are absent. This is the material report anchor for funding.</xltc:text>
  </xltc:threadedComment>
  <xltc:threadedComment ref="B47" dT="2026-09-08T04:31:41.483" personId="{1876A7EE-C7A4-4674-B574-E1272150C974}" id="{5F9F9B18-9A8C-4298-A093-023995E1B7F8}">
    <xltc:text>Reverse-solved from reported accrual and inferred days; not an independently observed market rate.</xltc:text>
  </xltc:threadedComment>
  <xltc:threadedComment ref="B48" dT="2026-09-08T04:31:41.484" personId="{1876A7EE-C7A4-4674-B574-E1272150C974}" id="{F66FFDE5-8A2D-4AF8-90A0-AFE02531B88F}">
    <xltc:text>Do not treat this averaged proxy as any daily fixing or use it as independent valuation evidence.</xltc:text>
  </xltc:threadedComment>
  <xltc:threadedComment ref="B49" dT="2026-09-08T04:31:41.484" personId="{1876A7EE-C7A4-4674-B574-E1272150C974}" id="{6BFF9641-33AB-400F-A47E-2C6471BF7F65}">
    <xltc:text>Observable reconciliation residual. Historical FX, ledger and adjustment history are needed to establish its cause.</xltc:text>
  </xltc:threadedComment>
  <xltc:threadedComment ref="B50" dT="2026-09-08T04:31:41.484" personId="{1876A7EE-C7A4-4674-B574-E1272150C974}" id="{90E39FFB-B944-4CB9-BD3C-80F7A35A5611}">
    <xltc:text>Known TRS COF only; swap COF not supplied.</xltc:text>
  </xltc:threadedComment>
  <xltc:threadedComment ref="B54" dT="2026-09-08T04:31:41.484" personId="{1876A7EE-C7A4-4674-B574-E1272150C974}" id="{70B797CB-CE8D-4679-8A38-BBE612672B81}">
    <xltc:text>Initial link to inferred bond cut-off is only a scaffold for a future independent fixing calculation.</xltc:text>
  </xltc:threadedComment>
  <xltc:threadedComment ref="B55" dT="2026-09-08T04:31:41.485" personId="{1876A7EE-C7A4-4674-B574-E1272150C974}" id="{E30E63D4-41B4-4187-A292-1197E03C066B}">
    <xltc:text>No intermediate cash is shown. Payment/reset schedule still needs confirmation.</xltc:text>
  </xltc:threadedComment>
  <xltc:threadedComment ref="B56" dT="2026-09-08T04:31:41.485" personId="{1876A7EE-C7A4-4674-B574-E1272150C974}" id="{ED0B5F66-A9DD-4FE1-8D91-575FC78D2CEF}">
    <xltc:text>Change only with a confirmed accrual convention.</xltc:text>
  </xltc:threadedComment>
  <xltc:threadedComment ref="B57" dT="2026-09-08T04:31:41.486" personId="{1876A7EE-C7A4-4674-B574-E1272150C974}" id="{78CACA3C-76EA-48E9-A40A-54D0A10960CD}">
    <xltc:text>Both supplied tickets are new in 2026. Assumes no novation, predecessor balance or off-ticket opening adjustment.</xltc:text>
  </xltc:threadedComment>
</xltc:ThreadedComments>
</file>

<file path=xl/threadedcomments/threadedcomment4.xml><?xml version="1.0" encoding="utf-8"?>
<xltc:ThreadedComments xmlns:xltc="http://schemas.microsoft.com/office/spreadsheetml/2018/threadedcomments">
  <xltc:threadedComment ref="B5" dT="2026-09-08T04:31:41.454" personId="{1876A7EE-C7A4-4674-B574-E1272150C974}" id="{682C553F-A799-454B-996B-7CF7D91A478F}">
    <xltc:text>TRS.xlsx, I05 / M; I04 / AJ-AK. Original Images uses I01–I19 in extraction order. Swap accrual is already within its supplied closing PV; do not add it again.</xltc:text>
  </xltc:threadedComment>
  <xltc:threadedComment ref="C5" dT="2026-09-08T04:31:41.455" personId="{1876A7EE-C7A4-4674-B574-E1272150C974}" id="{30515FF3-6079-41C5-AA4E-159A0ED278B7}">
    <xltc:text>TRS.xlsx, I05 / M; I04 / AJ-AK. Original Images uses I01–I19 in extraction order. Swap accrual is already within its supplied closing PV; do not add it again.</xltc:text>
  </xltc:threadedComment>
  <xltc:threadedComment ref="D5" dT="2026-09-08T04:31:41.455" personId="{1876A7EE-C7A4-4674-B574-E1272150C974}" id="{B3E7B3FC-0D10-4B0D-91AF-6CB54FCDCEEC}">
    <xltc:text>TRS.xlsx, I05 / M; I04 / AJ-AK. Original Images uses I01–I19 in extraction order. Swap accrual is already within its supplied closing PV; do not add it again.</xltc:text>
  </xltc:threadedComment>
  <xltc:threadedComment ref="B6" dT="2026-09-08T04:31:41.455" personId="{1876A7EE-C7A4-4674-B574-E1272150C974}" id="{E08915A6-BB0E-4548-A725-359D30F93CBD}">
    <xltc:text>TRS.xlsx, I07 / AX-AZ. Original Images uses I01–I19 in extraction order. No BS adjustment is shown.</xltc:text>
  </xltc:threadedComment>
  <xltc:threadedComment ref="C6" dT="2026-09-08T04:31:41.455" personId="{1876A7EE-C7A4-4674-B574-E1272150C974}" id="{D0495749-7D89-46CA-AFE3-FADD97AF1E34}">
    <xltc:text>TRS.xlsx, I07 / AX-AZ. Original Images uses I01–I19 in extraction order. No BS adjustment is shown.</xltc:text>
  </xltc:threadedComment>
  <xltc:threadedComment ref="D6" dT="2026-09-08T04:31:41.455" personId="{1876A7EE-C7A4-4674-B574-E1272150C974}" id="{1CA4340D-491B-499D-89D0-311108C5DC75}">
    <xltc:text>TRS.xlsx, I07 / AX-AZ. Original Images uses I01–I19 in extraction order. No BS adjustment is shown.</xltc:text>
  </xltc:threadedComment>
  <xltc:threadedComment ref="B7" dT="2026-09-08T04:31:41.455" personId="{1876A7EE-C7A4-4674-B574-E1272150C974}" id="{A0A7ECF1-0035-4BA3-8612-05C131DE75CF}">
    <xltc:text>TRS.xlsx, I09 / CG-CI. Original Images uses I01–I19 in extraction order. Current translated closing values.</xltc:text>
  </xltc:threadedComment>
  <xltc:threadedComment ref="C7" dT="2026-09-08T04:31:41.455" personId="{1876A7EE-C7A4-4674-B574-E1272150C974}" id="{DDE07055-164D-4B3F-AFB7-E33D7F459202}">
    <xltc:text>TRS.xlsx, I09 / CG-CI. Original Images uses I01–I19 in extraction order. Current translated closing values.</xltc:text>
  </xltc:threadedComment>
  <xltc:threadedComment ref="D7" dT="2026-09-08T04:31:41.455" personId="{1876A7EE-C7A4-4674-B574-E1272150C974}" id="{50E6C97C-AB49-42DD-B07E-23F797F27277}">
    <xltc:text>TRS.xlsx, I09 / CG-CI. Original Images uses I01–I19 in extraction order. Current translated closing values.</xltc:text>
  </xltc:threadedComment>
  <xltc:threadedComment ref="B8" dT="2026-09-08T04:31:41.455" personId="{1876A7EE-C7A4-4674-B574-E1272150C974}" id="{B072DAF5-E731-46C4-A521-07F4B4AA54D9}">
    <xltc:text>TRS.xlsx, I09 / BY-CA. Original Images uses I01–I19 in extraction order. Trade entered in June 2026.</xltc:text>
  </xltc:threadedComment>
  <xltc:threadedComment ref="C8" dT="2026-09-08T04:31:41.455" personId="{1876A7EE-C7A4-4674-B574-E1272150C974}" id="{15052454-46E0-4A11-8AF9-A47058825CDF}">
    <xltc:text>TRS.xlsx, I09 / BY-CA. Original Images uses I01–I19 in extraction order. Trade entered in June 2026.</xltc:text>
  </xltc:threadedComment>
  <xltc:threadedComment ref="D8" dT="2026-09-08T04:31:41.455" personId="{1876A7EE-C7A4-4674-B574-E1272150C974}" id="{35EA67AF-FB9A-417D-8A1B-8656DE7A661A}">
    <xltc:text>TRS.xlsx, I09 / BY-CA. Original Images uses I01–I19 in extraction order. Trade entered in June 2026.</xltc:text>
  </xltc:threadedComment>
  <xltc:threadedComment ref="B9" dT="2026-09-08T04:31:41.455" personId="{1876A7EE-C7A4-4674-B574-E1272150C974}" id="{7C445CB5-16A7-4559-83D9-5DB1250EC95A}">
    <xltc:text>TRS.xlsx, I09 / CB-CD. Original Images uses I01–I19 in extraction order. Primary YTD target for reconciliation.</xltc:text>
  </xltc:threadedComment>
  <xltc:threadedComment ref="C9" dT="2026-09-08T04:31:41.456" personId="{1876A7EE-C7A4-4674-B574-E1272150C974}" id="{0EDE26D1-1A06-4490-BCB4-5FCEE37FB1DF}">
    <xltc:text>TRS.xlsx, I09 / CB-CD. Original Images uses I01–I19 in extraction order. Primary YTD target for reconciliation.</xltc:text>
  </xltc:threadedComment>
  <xltc:threadedComment ref="D9" dT="2026-09-08T04:31:41.456" personId="{1876A7EE-C7A4-4674-B574-E1272150C974}" id="{D6BBA9D6-0859-4D2D-87C0-F0D9B8BA4282}">
    <xltc:text>TRS.xlsx, I09 / CB-CD. Original Images uses I01–I19 in extraction order. Primary YTD target for reconciliation.</xltc:text>
  </xltc:threadedComment>
  <xltc:threadedComment ref="B10" dT="2026-09-08T04:31:41.456" personId="{1876A7EE-C7A4-4674-B574-E1272150C974}" id="{9CF05061-36AC-4379-91B4-571A23B97503}">
    <xltc:text>TRS.xlsx, I07 / BG-BI. Original Images uses I01–I19 in extraction order. All three rows show zero.</xltc:text>
  </xltc:threadedComment>
  <xltc:threadedComment ref="C10" dT="2026-09-08T04:31:41.456" personId="{1876A7EE-C7A4-4674-B574-E1272150C974}" id="{EE6CAE5E-3EA6-4DD7-8561-06A148AAE5CA}">
    <xltc:text>TRS.xlsx, I07 / BG-BI. Original Images uses I01–I19 in extraction order. All three rows show zero.</xltc:text>
  </xltc:threadedComment>
  <xltc:threadedComment ref="D10" dT="2026-09-08T04:31:41.456" personId="{1876A7EE-C7A4-4674-B574-E1272150C974}" id="{456F80E6-83E0-496E-90C4-A7E3E288B630}">
    <xltc:text>TRS.xlsx, I07 / BG-BI. Original Images uses I01–I19 in extraction order. All three rows show zero.</xltc:text>
  </xltc:threadedComment>
  <xltc:threadedComment ref="B11" dT="2026-09-08T04:31:41.456" personId="{1876A7EE-C7A4-4674-B574-E1272150C974}" id="{0F68C841-3AA2-4D8B-A2C2-6BCD9CDC629A}">
    <xltc:text>TRS.xlsx, I08 / BJ-BL. Original Images uses I01–I19 in extraction order. TRS daily P&amp;L equals the change in the displayed opening / closing MTM in each currency.</xltc:text>
  </xltc:threadedComment>
  <xltc:threadedComment ref="C11" dT="2026-09-08T04:31:41.456" personId="{1876A7EE-C7A4-4674-B574-E1272150C974}" id="{AD8929CF-87B3-4A2A-B027-96C188F61D1A}">
    <xltc:text>TRS.xlsx, I08 / BJ-BL. Original Images uses I01–I19 in extraction order. TRS daily P&amp;L equals the change in the displayed opening / closing MTM in each currency.</xltc:text>
  </xltc:threadedComment>
  <xltc:threadedComment ref="D11" dT="2026-09-08T04:31:41.456" personId="{1876A7EE-C7A4-4674-B574-E1272150C974}" id="{0C9154D0-7A22-44A0-A0BE-F6C3ABFB68A5}">
    <xltc:text>TRS.xlsx, I08 / BJ-BL. Original Images uses I01–I19 in extraction order. TRS daily P&amp;L equals the change in the displayed opening / closing MTM in each currency.</xltc:text>
  </xltc:threadedComment>
  <xltc:threadedComment ref="B12" dT="2026-09-08T04:31:41.456" personId="{1876A7EE-C7A4-4674-B574-E1272150C974}" id="{94B5697F-8671-4106-B46A-F6A55A0338FB}">
    <xltc:text>TRS.xlsx, I08 / BM-BR. Original Images uses I01–I19 in extraction order. The three USD daily variants shown agree.</xltc:text>
  </xltc:threadedComment>
  <xltc:threadedComment ref="C12" dT="2026-09-08T04:31:41.456" personId="{1876A7EE-C7A4-4674-B574-E1272150C974}" id="{3763820A-BF63-4076-8391-C0971753971D}">
    <xltc:text>TRS.xlsx, I08 / BM-BR. Original Images uses I01–I19 in extraction order. The three USD daily variants shown agree.</xltc:text>
  </xltc:threadedComment>
  <xltc:threadedComment ref="D12" dT="2026-09-08T04:31:41.456" personId="{1876A7EE-C7A4-4674-B574-E1272150C974}" id="{68D57A89-E73D-459B-B06C-2867C02FBAB6}">
    <xltc:text>TRS.xlsx, I08 / BM-BR. Original Images uses I01–I19 in extraction order. The three USD daily variants shown agree.</xltc:text>
  </xltc:threadedComment>
  <xltc:threadedComment ref="B13" dT="2026-09-08T04:31:41.456" personId="{1876A7EE-C7A4-4674-B574-E1272150C974}" id="{9FE08BF9-CC77-4F99-A133-575CA05C9596}">
    <xltc:text>TRS.xlsx, I08 / BS-BU. Original Images uses I01–I19 in extraction order. </xltc:text>
  </xltc:threadedComment>
  <xltc:threadedComment ref="C13" dT="2026-09-08T04:31:41.456" personId="{1876A7EE-C7A4-4674-B574-E1272150C974}" id="{BEBEAF5A-06FB-4F1D-9858-5EAEE4D8BC4F}">
    <xltc:text>TRS.xlsx, I08 / BS-BU. Original Images uses I01–I19 in extraction order. </xltc:text>
  </xltc:threadedComment>
  <xltc:threadedComment ref="D13" dT="2026-09-08T04:31:41.456" personId="{1876A7EE-C7A4-4674-B574-E1272150C974}" id="{796B3D43-744C-4059-BC9D-04D3E615CCBB}">
    <xltc:text>TRS.xlsx, I08 / BS-BU. Original Images uses I01–I19 in extraction order. </xltc:text>
  </xltc:threadedComment>
  <xltc:threadedComment ref="B14" dT="2026-09-08T04:31:41.456" personId="{1876A7EE-C7A4-4674-B574-E1272150C974}" id="{805134D4-C5E2-4F81-B816-D2B215BC0387}">
    <xltc:text>TRS.xlsx, I08 / BV-BX. Original Images uses I01–I19 in extraction order. </xltc:text>
  </xltc:threadedComment>
  <xltc:threadedComment ref="C14" dT="2026-09-08T04:31:41.456" personId="{1876A7EE-C7A4-4674-B574-E1272150C974}" id="{1F2D7BEB-7CDD-494A-881F-DBA75FB08D35}">
    <xltc:text>TRS.xlsx, I08 / BV-BX. Original Images uses I01–I19 in extraction order. </xltc:text>
  </xltc:threadedComment>
  <xltc:threadedComment ref="D14" dT="2026-09-08T04:31:41.456" personId="{1876A7EE-C7A4-4674-B574-E1272150C974}" id="{EC665022-ED93-48D2-86A3-592C1E733FEF}">
    <xltc:text>TRS.xlsx, I08 / BV-BX. Original Images uses I01–I19 in extraction order. </xltc:text>
  </xltc:threadedComment>
  <xltc:threadedComment ref="B15" dT="2026-09-08T04:31:41.456" personId="{1876A7EE-C7A4-4674-B574-E1272150C974}" id="{9C778C75-BF57-4781-8BB6-F5F1A00CEB09}">
    <xltc:text>TRS.xlsx, I04 / AL. Original Images uses I01–I19 in extraction order. Signed nominal times clean bond price / 100.</xltc:text>
  </xltc:threadedComment>
  <xltc:threadedComment ref="B16" dT="2026-09-08T04:31:41.456" personId="{1876A7EE-C7A4-4674-B574-E1272150C974}" id="{5CAA875E-3210-4593-9D5D-53C441EB07AC}">
    <xltc:text>TRS.xlsx, I01 currency + I03 / AD. Original Images uses I01–I19 in extraction order. Native currency is CNY. It is not a USD NPV.</xltc:text>
  </xltc:threadedComment>
  <xltc:threadedComment ref="B17" dT="2026-09-08T04:31:41.456" personId="{1876A7EE-C7A4-4674-B574-E1272150C974}" id="{465F4EEF-1B67-4B1E-9EA3-C1B6EB63F6B0}">
    <xltc:text>TRS.xlsx, I03 / AF. Original Images uses I01–I19 in extraction order. CNY bond accrual plus USD funding accrual translated to CNY.</xltc:text>
  </xltc:threadedComment>
  <xltc:threadedComment ref="C18" dT="2026-09-08T04:31:41.456" personId="{1876A7EE-C7A4-4674-B574-E1272150C974}" id="{78DB3A70-B219-43A0-A5B2-E00B9B0E33D5}">
    <xltc:text>TRS.xlsx, I04 / AJ, AO; I15 / BE. Original Images uses I01–I19 in extraction order. Observed accrued funding. SOFR fixing history is not supplied.</xltc:text>
  </xltc:threadedComment>
  <xltc:threadedComment ref="C19" dT="2026-09-08T04:31:41.456" personId="{1876A7EE-C7A4-4674-B574-E1272150C974}" id="{1E202F62-911C-4BCE-844B-E4A973A589C8}">
    <xltc:text>TRS.xlsx, I04 / AN. Original Images uses I01–I19 in extraction order. The source shows zero; no independently observed forward curve is supplied.</xltc:text>
  </xltc:threadedComment>
  <xltc:threadedComment ref="B20" dT="2026-09-08T04:31:41.456" personId="{1876A7EE-C7A4-4674-B574-E1272150C974}" id="{06327E77-AC1C-4BF3-BEDF-450F3B37D82A}">
    <xltc:text>TRS.xlsx, I04 / AM. Original Images uses I01–I19 in extraction order. Zero as displayed.</xltc:text>
  </xltc:threadedComment>
  <xltc:threadedComment ref="C21" dT="2026-09-08T04:31:41.456" personId="{1876A7EE-C7A4-4674-B574-E1272150C974}" id="{3C2647A1-14EF-4BF7-8013-B0D5AE18EB91}">
    <xltc:text>TRS.xlsx, I04 / AP. Original Images uses I01–I19 in extraction order. Zero as displayed.</xltc:text>
  </xltc:threadedComment>
  <xltc:threadedComment ref="C22" dT="2026-09-08T04:31:41.456" personId="{1876A7EE-C7A4-4674-B574-E1272150C974}" id="{ADBB0531-9FFA-4E7B-BD5B-0BA2E4B254D6}">
    <xltc:text>TRS.xlsx, I04 / AQ. Original Images uses I01–I19 in extraction order. Zero as displayed.</xltc:text>
  </xltc:threadedComment>
  <xltc:threadedComment ref="C23" dT="2026-09-08T04:31:41.456" personId="{1876A7EE-C7A4-4674-B574-E1272150C974}" id="{0CE69341-EB0B-488C-A99E-47B8D3C35764}">
    <xltc:text>TRS.xlsx, I04 / AT. Original Images uses I01–I19 in extraction order. Funding notional still appears in the USD balance; confirm legal principal-exchange terms.</xltc:text>
  </xltc:threadedComment>
  <xltc:threadedComment ref="B24" dT="2026-09-08T04:31:41.456" personId="{1876A7EE-C7A4-4674-B574-E1272150C974}" id="{554C3492-996F-4874-B5CB-56CB4015E669}">
    <xltc:text>TRS.xlsx, I10 / R. Original Images uses I01–I19 in extraction order. Closing minus opening reconciles to the displayed daily P&amp;L.</xltc:text>
  </xltc:threadedComment>
  <xltc:threadedComment ref="C24" dT="2026-09-08T04:31:41.456" personId="{1876A7EE-C7A4-4674-B574-E1272150C974}" id="{DA930F2F-C96A-41D8-9529-860260A59210}">
    <xltc:text>TRS.xlsx, I10 / R. Original Images uses I01–I19 in extraction order. Closing minus opening reconciles to the displayed daily P&amp;L.</xltc:text>
  </xltc:threadedComment>
  <xltc:threadedComment ref="B25" dT="2026-09-08T04:31:41.456" personId="{1876A7EE-C7A4-4674-B574-E1272150C974}" id="{C9A77253-6C53-456D-8741-8898E1D8C743}">
    <xltc:text>TRS.xlsx, I10 / S. Original Images uses I01–I19 in extraction order. Matches the main BS table.</xltc:text>
  </xltc:threadedComment>
  <xltc:threadedComment ref="C25" dT="2026-09-08T04:31:41.456" personId="{1876A7EE-C7A4-4674-B574-E1272150C974}" id="{3A535644-891D-4031-8F1B-714C8ABA4747}">
    <xltc:text>TRS.xlsx, I10 / S. Original Images uses I01–I19 in extraction order. Matches the main BS table.</xltc:text>
  </xltc:threadedComment>
  <xltc:threadedComment ref="B26" dT="2026-09-08T04:31:41.456" personId="{1876A7EE-C7A4-4674-B574-E1272150C974}" id="{713F3B31-C551-4F9B-B565-E9BA57C591AB}">
    <xltc:text>TRS.xlsx, I11 / V. Original Images uses I01–I19 in extraction order. </xltc:text>
  </xltc:threadedComment>
  <xltc:threadedComment ref="C26" dT="2026-09-08T04:31:41.456" personId="{1876A7EE-C7A4-4674-B574-E1272150C974}" id="{476D60F8-8944-413B-9EE9-B24888B7CD6B}">
    <xltc:text>TRS.xlsx, I11 / V. Original Images uses I01–I19 in extraction order. </xltc:text>
  </xltc:threadedComment>
  <xltc:threadedComment ref="B27" dT="2026-09-08T04:31:41.456" personId="{1876A7EE-C7A4-4674-B574-E1272150C974}" id="{A1CCEBD8-5F89-457A-8F72-E1D16A95C3C3}">
    <xltc:text>TRS.xlsx, I11 / W. Original Images uses I01–I19 in extraction order. </xltc:text>
  </xltc:threadedComment>
  <xltc:threadedComment ref="C27" dT="2026-09-08T04:31:41.456" personId="{1876A7EE-C7A4-4674-B574-E1272150C974}" id="{96D404D1-358F-4DE1-8666-CB0A6B921C47}">
    <xltc:text>TRS.xlsx, I11 / W. Original Images uses I01–I19 in extraction order. </xltc:text>
  </xltc:threadedComment>
  <xltc:threadedComment ref="B28" dT="2026-09-08T04:31:41.456" personId="{1876A7EE-C7A4-4674-B574-E1272150C974}" id="{17A427CA-3DDE-48F5-9D63-8225339E1B13}">
    <xltc:text>TRS.xlsx, I11 / X. Original Images uses I01–I19 in extraction order. </xltc:text>
  </xltc:threadedComment>
  <xltc:threadedComment ref="C28" dT="2026-09-08T04:31:41.456" personId="{1876A7EE-C7A4-4674-B574-E1272150C974}" id="{BDA77B4B-A529-49E3-877C-6A182C78F43B}">
    <xltc:text>TRS.xlsx, I11 / X. Original Images uses I01–I19 in extraction order. </xltc:text>
  </xltc:threadedComment>
  <xltc:threadedComment ref="B29" dT="2026-09-08T04:31:41.456" personId="{1876A7EE-C7A4-4674-B574-E1272150C974}" id="{2048143D-0541-4296-9757-4F11975FA3FE}">
    <xltc:text>TRS.xlsx, I11 / Y. Original Images uses I01–I19 in extraction order. </xltc:text>
  </xltc:threadedComment>
  <xltc:threadedComment ref="C29" dT="2026-09-08T04:31:41.456" personId="{1876A7EE-C7A4-4674-B574-E1272150C974}" id="{E4353ECF-F63A-4F10-8AE1-7DA4F4E34D2A}">
    <xltc:text>TRS.xlsx, I11 / Y. Original Images uses I01–I19 in extraction order. </xltc:text>
  </xltc:threadedComment>
  <xltc:threadedComment ref="B30" dT="2026-09-08T04:31:41.456" personId="{1876A7EE-C7A4-4674-B574-E1272150C974}" id="{0D484FDB-7BFB-4EF9-BB51-490CB8925CC6}">
    <xltc:text>TRS.xlsx, I11 / Z. Original Images uses I01–I19 in extraction order. Daily attribution field; does not establish the cause of the YTD bridge.</xltc:text>
  </xltc:threadedComment>
  <xltc:threadedComment ref="C30" dT="2026-09-08T04:31:41.456" personId="{1876A7EE-C7A4-4674-B574-E1272150C974}" id="{72FFE042-2ADE-4010-AD1B-CDFACC5E7708}">
    <xltc:text>TRS.xlsx, I11 / Z. Original Images uses I01–I19 in extraction order. Daily attribution field; does not establish the cause of the YTD bridge.</xltc:text>
  </xltc:threadedComment>
  <xltc:threadedComment ref="B31" dT="2026-09-08T04:31:41.456" personId="{1876A7EE-C7A4-4674-B574-E1272150C974}" id="{0A8F8CF7-EC6F-4746-B39F-1427258D3342}">
    <xltc:text>TRS.xlsx, I11 / AA. Original Images uses I01–I19 in extraction order. </xltc:text>
  </xltc:threadedComment>
  <xltc:threadedComment ref="C31" dT="2026-09-08T04:31:41.456" personId="{1876A7EE-C7A4-4674-B574-E1272150C974}" id="{A142CCCB-F497-4D19-8FEA-324EB9EC7101}">
    <xltc:text>TRS.xlsx, I11 / AA. Original Images uses I01–I19 in extraction order. </xltc:text>
  </xltc:threadedComment>
  <xltc:threadedComment ref="B32" dT="2026-09-08T04:31:41.456" personId="{1876A7EE-C7A4-4674-B574-E1272150C974}" id="{4CD90D8A-CDF8-490D-ABE8-3EA50E5550DA}">
    <xltc:text>TRS.xlsx, I11 / AB. Original Images uses I01–I19 in extraction order. </xltc:text>
  </xltc:threadedComment>
  <xltc:threadedComment ref="C32" dT="2026-09-08T04:31:41.456" personId="{1876A7EE-C7A4-4674-B574-E1272150C974}" id="{34443048-EFA3-4D86-8534-75614D0B4095}">
    <xltc:text>TRS.xlsx, I11 / AB. Original Images uses I01–I19 in extraction order. </xltc:text>
  </xltc:threadedComment>
  <xltc:threadedComment ref="B33" dT="2026-09-08T04:31:41.456" personId="{1876A7EE-C7A4-4674-B574-E1272150C974}" id="{26BDEC10-53FF-4001-B949-5B82729711DD}">
    <xltc:text>TRS.xlsx, I11 / AC. Original Images uses I01–I19 in extraction order. </xltc:text>
  </xltc:threadedComment>
  <xltc:threadedComment ref="C33" dT="2026-09-08T04:31:41.457" personId="{1876A7EE-C7A4-4674-B574-E1272150C974}" id="{DB4A9827-AF07-4D2B-BE8F-3D9B920803BD}">
    <xltc:text>TRS.xlsx, I11 / AC. Original Images uses I01–I19 in extraction order. </xltc:text>
  </xltc:threadedComment>
  <xltc:threadedComment ref="B34" dT="2026-09-08T04:31:41.457" personId="{1876A7EE-C7A4-4674-B574-E1272150C974}" id="{47B8E4D2-4C71-4F87-B7F9-8D924652AA64}">
    <xltc:text>TRS.xlsx, I12 / AE. Original Images uses I01–I19 in extraction order. USD accounting PnL differs from displayed day P&amp;L.</xltc:text>
  </xltc:threadedComment>
  <xltc:threadedComment ref="C34" dT="2026-09-08T04:31:41.457" personId="{1876A7EE-C7A4-4674-B574-E1272150C974}" id="{09F0FF1C-2D2C-4230-9561-3F7669C89F2B}">
    <xltc:text>TRS.xlsx, I12 / AE. Original Images uses I01–I19 in extraction order. USD accounting PnL differs from displayed day P&amp;L.</xltc:text>
  </xltc:threadedComment>
  <xltc:threadedComment ref="B35" dT="2026-09-08T04:31:41.457" personId="{1876A7EE-C7A4-4674-B574-E1272150C974}" id="{58E891DE-71B3-4E53-874B-C5B2FEB28840}">
    <xltc:text>TRS.xlsx, I12 / AF. Original Images uses I01–I19 in extraction order. </xltc:text>
  </xltc:threadedComment>
  <xltc:threadedComment ref="C35" dT="2026-09-08T04:31:41.457" personId="{1876A7EE-C7A4-4674-B574-E1272150C974}" id="{D29E9BFB-A5E4-4B65-AF09-3C68DAE3F547}">
    <xltc:text>TRS.xlsx, I12 / AF. Original Images uses I01–I19 in extraction order. </xltc:text>
  </xltc:threadedComment>
  <xltc:threadedComment ref="B36" dT="2026-09-08T04:31:41.457" personId="{1876A7EE-C7A4-4674-B574-E1272150C974}" id="{12204C4E-D27B-480B-B99B-94934D1ECA40}">
    <xltc:text>TRS.xlsx, I12 / AG. Original Images uses I01–I19 in extraction order. </xltc:text>
  </xltc:threadedComment>
  <xltc:threadedComment ref="C36" dT="2026-09-08T04:31:41.457" personId="{1876A7EE-C7A4-4674-B574-E1272150C974}" id="{22B46086-1EB6-4FC6-B98F-CB5C2D53D6B1}">
    <xltc:text>TRS.xlsx, I12 / AG. Original Images uses I01–I19 in extraction order. </xltc:text>
  </xltc:threadedComment>
  <xltc:threadedComment ref="B37" dT="2026-09-08T04:31:41.457" personId="{1876A7EE-C7A4-4674-B574-E1272150C974}" id="{4073801B-003A-4F12-B249-03030E43DA08}">
    <xltc:text>TRS.xlsx, I12 / AH. Original Images uses I01–I19 in extraction order. </xltc:text>
  </xltc:threadedComment>
  <xltc:threadedComment ref="C37" dT="2026-09-08T04:31:41.457" personId="{1876A7EE-C7A4-4674-B574-E1272150C974}" id="{BD02B643-22B6-454E-928E-283641391F8D}">
    <xltc:text>TRS.xlsx, I12 / AH. Original Images uses I01–I19 in extraction order. </xltc:text>
  </xltc:threadedComment>
  <xltc:threadedComment ref="B38" dT="2026-09-08T04:31:41.457" personId="{1876A7EE-C7A4-4674-B574-E1272150C974}" id="{C20F3642-7113-4F4F-83C5-AF391CAC6F41}">
    <xltc:text>TRS.xlsx, I13 / AM. Original Images uses I01–I19 in extraction order. </xltc:text>
  </xltc:threadedComment>
  <xltc:threadedComment ref="C38" dT="2026-09-08T04:31:41.457" personId="{1876A7EE-C7A4-4674-B574-E1272150C974}" id="{DDC746A0-E19B-47EF-B47B-A9862148BA47}">
    <xltc:text>TRS.xlsx, I13 / AM. Original Images uses I01–I19 in extraction order. </xltc:text>
  </xltc:threadedComment>
  <xltc:threadedComment ref="B39" dT="2026-09-08T04:31:41.457" personId="{1876A7EE-C7A4-4674-B574-E1272150C974}" id="{2A76E545-900A-443C-908B-823AAA2BD596}">
    <xltc:text>TRS.xlsx, I13 / AN. Original Images uses I01–I19 in extraction order. COF is shown separately from headline YTD.</xltc:text>
  </xltc:threadedComment>
  <xltc:threadedComment ref="C39" dT="2026-09-08T04:31:41.457" personId="{1876A7EE-C7A4-4674-B574-E1272150C974}" id="{3D0C036A-5E32-4BDC-87AD-404C1E4BC036}">
    <xltc:text>TRS.xlsx, I13 / AN. Original Images uses I01–I19 in extraction order. COF is shown separately from headline YTD.</xltc:text>
  </xltc:threadedComment>
  <xltc:threadedComment ref="B40" dT="2026-09-08T04:31:41.457" personId="{1876A7EE-C7A4-4674-B574-E1272150C974}" id="{E50F384F-03BD-45CD-A34E-58DDF9DA35A1}">
    <xltc:text>TRS.xlsx, I13 / AO. Original Images uses I01–I19 in extraction order. </xltc:text>
  </xltc:threadedComment>
  <xltc:threadedComment ref="C40" dT="2026-09-08T04:31:41.457" personId="{1876A7EE-C7A4-4674-B574-E1272150C974}" id="{3E1B3A10-ADEA-4D4E-A6BB-1951A55B38D0}">
    <xltc:text>TRS.xlsx, I13 / AO. Original Images uses I01–I19 in extraction order. </xltc:text>
  </xltc:threadedComment>
  <xltc:threadedComment ref="B41" dT="2026-09-08T04:31:41.457" personId="{1876A7EE-C7A4-4674-B574-E1272150C974}" id="{CFC355C4-F867-4B9C-A2A3-244E27B47524}">
    <xltc:text>TRS.xlsx, I13 / AP. Original Images uses I01–I19 in extraction order. No corresponding swap COF is supplied.</xltc:text>
  </xltc:threadedComment>
  <xltc:threadedComment ref="C41" dT="2026-09-08T04:31:41.457" personId="{1876A7EE-C7A4-4674-B574-E1272150C974}" id="{61238DFD-6122-4625-BB1C-FB0905A9308E}">
    <xltc:text>TRS.xlsx, I13 / AP. Original Images uses I01–I19 in extraction order. No corresponding swap COF is supplied.</xltc:text>
  </xltc:threadedComment>
  <xltc:threadedComment ref="B42" dT="2026-09-08T04:31:41.457" personId="{1876A7EE-C7A4-4674-B574-E1272150C974}" id="{6AFE2C5D-D2DA-4186-8789-77C78CF10A06}">
    <xltc:text>TRS.xlsx, I13 / AR. Original Images uses I01–I19 in extraction order. CNY row differs by USD 0.03 from I09.</xltc:text>
  </xltc:threadedComment>
  <xltc:threadedComment ref="C42" dT="2026-09-08T04:31:41.457" personId="{1876A7EE-C7A4-4674-B574-E1272150C974}" id="{BA91E0F9-F97D-45A3-97C0-4870DBDB1BDE}">
    <xltc:text>TRS.xlsx, I13 / AR. Original Images uses I01–I19 in extraction order. CNY row differs by USD 0.03 from I09.</xltc:text>
  </xltc:threadedComment>
  <xltc:threadedComment ref="B43" dT="2026-09-08T04:31:41.457" personId="{1876A7EE-C7A4-4674-B574-E1272150C974}" id="{2DD8F943-BF0A-4261-BC37-EAE0C0971AD8}">
    <xltc:text>TRS.xlsx, I14 / AU. Original Images uses I01–I19 in extraction order. </xltc:text>
  </xltc:threadedComment>
  <xltc:threadedComment ref="C43" dT="2026-09-08T04:31:41.457" personId="{1876A7EE-C7A4-4674-B574-E1272150C974}" id="{B6CCCCD9-C002-4F99-812F-C474D2429E6B}">
    <xltc:text>TRS.xlsx, I14 / AU. Original Images uses I01–I19 in extraction order. </xltc:text>
  </xltc:threadedComment>
  <xltc:threadedComment ref="B44" dT="2026-09-08T04:31:41.457" personId="{1876A7EE-C7A4-4674-B574-E1272150C974}" id="{DE535B6C-B217-468A-A97E-75B31C887CD9}">
    <xltc:text>TRS.xlsx, I14 / AV. Original Images uses I01–I19 in extraction order. </xltc:text>
  </xltc:threadedComment>
  <xltc:threadedComment ref="C44" dT="2026-09-08T04:31:41.457" personId="{1876A7EE-C7A4-4674-B574-E1272150C974}" id="{009B2E80-8C34-4694-B908-3ECA6DBF6D33}">
    <xltc:text>TRS.xlsx, I14 / AV. Original Images uses I01–I19 in extraction order. </xltc:text>
  </xltc:threadedComment>
  <xltc:threadedComment ref="B45" dT="2026-09-08T04:31:41.457" personId="{1876A7EE-C7A4-4674-B574-E1272150C974}" id="{590AD5FD-7E26-466B-908B-8C7DB03F0947}">
    <xltc:text>TRS.xlsx, I14 / AW. Original Images uses I01–I19 in extraction order. </xltc:text>
  </xltc:threadedComment>
  <xltc:threadedComment ref="C45" dT="2026-09-08T04:31:41.457" personId="{1876A7EE-C7A4-4674-B574-E1272150C974}" id="{E835B9D7-345A-47AC-B409-AED98B1AF0C9}">
    <xltc:text>TRS.xlsx, I14 / AW. Original Images uses I01–I19 in extraction order. </xltc:text>
  </xltc:threadedComment>
  <xltc:threadedComment ref="B46" dT="2026-09-08T04:31:41.457" personId="{1876A7EE-C7A4-4674-B574-E1272150C974}" id="{42D02D15-DFE0-4E3B-933A-F24B3509F006}">
    <xltc:text>TRS.xlsx, I14 / AX. Original Images uses I01–I19 in extraction order. Matches five-decimal per-100 coupon-accrual rounding.</xltc:text>
  </xltc:threadedComment>
  <xltc:threadedComment ref="C46" dT="2026-09-08T04:31:41.457" personId="{1876A7EE-C7A4-4674-B574-E1272150C974}" id="{68671BF8-9759-4B0D-8D72-C4DB77CB1F9D}">
    <xltc:text>TRS.xlsx, I14 / AX. Original Images uses I01–I19 in extraction order. Matches five-decimal per-100 coupon-accrual rounding.</xltc:text>
  </xltc:threadedComment>
  <xltc:threadedComment ref="B47" dT="2026-09-08T04:31:41.457" personId="{1876A7EE-C7A4-4674-B574-E1272150C974}" id="{B544591D-B413-42A9-A500-F95C2780297F}">
    <xltc:text>TRS.xlsx, I14 / AY. Original Images uses I01–I19 in extraction order. Displayed on both trade-currency rows.</xltc:text>
  </xltc:threadedComment>
  <xltc:threadedComment ref="C47" dT="2026-09-08T04:31:41.457" personId="{1876A7EE-C7A4-4674-B574-E1272150C974}" id="{11DCEABA-2064-45E6-90D7-33019CB95970}">
    <xltc:text>TRS.xlsx, I14 / AY. Original Images uses I01–I19 in extraction order. Displayed on both trade-currency rows.</xltc:text>
  </xltc:threadedComment>
  <xltc:threadedComment ref="B48" dT="2026-09-08T04:31:41.457" personId="{1876A7EE-C7A4-4674-B574-E1272150C974}" id="{C2EC5898-588A-4AA8-B302-B7C3CD30356D}">
    <xltc:text>TRS.xlsx, I16 / BM. Original Images uses I01–I19 in extraction order. The user-editable input uses 108.5758 per 100.</xltc:text>
  </xltc:threadedComment>
  <xltc:threadedComment ref="C48" dT="2026-09-08T04:31:41.457" personId="{1876A7EE-C7A4-4674-B574-E1272150C974}" id="{F643941A-AEDA-45D0-AAA2-F90854362B84}">
    <xltc:text>TRS.xlsx, I16 / BM. Original Images uses I01–I19 in extraction order. The user-editable input uses 108.5758 per 100.</xltc:text>
  </xltc:threadedComment>
  <xltc:threadedComment ref="B49" dT="2026-09-08T04:31:41.457" personId="{1876A7EE-C7A4-4674-B574-E1272150C974}" id="{40C8D260-8552-4DD4-9D40-86153FA371A0}">
    <xltc:text>TRS.xlsx, I16 / BN. Original Images uses I01–I19 in extraction order. This is not the CNY per USD reporting rate; do not use it for CNY-to-USD translation.</xltc:text>
  </xltc:threadedComment>
  <xltc:threadedComment ref="C49" dT="2026-09-08T04:31:41.457" personId="{1876A7EE-C7A4-4674-B574-E1272150C974}" id="{BEFDC977-7EE1-4849-AB80-8DA5C7B4B587}">
    <xltc:text>TRS.xlsx, I16 / BN. Original Images uses I01–I19 in extraction order. This is not the CNY per USD reporting rate; do not use it for CNY-to-USD translation.</xltc:text>
  </xltc:threadedComment>
  <xltc:threadedComment ref="B50" dT="2026-09-08T04:31:41.457" personId="{1876A7EE-C7A4-4674-B574-E1272150C974}" id="{41605CB1-6F6A-4F17-9F43-A05C03619B7A}">
    <xltc:text>TRS.xlsx, I16 / BO. Original Images uses I01–I19 in extraction order. </xltc:text>
  </xltc:threadedComment>
  <xltc:threadedComment ref="C50" dT="2026-09-08T04:31:41.457" personId="{1876A7EE-C7A4-4674-B574-E1272150C974}" id="{FBD0382C-677E-4462-BF60-3CD0F6C08F92}">
    <xltc:text>TRS.xlsx, I16 / BO. Original Images uses I01–I19 in extraction order. </xltc:text>
  </xltc:threadedComment>
  <xltc:threadedComment ref="B51" dT="2026-09-08T04:31:41.457" personId="{1876A7EE-C7A4-4674-B574-E1272150C974}" id="{754DFEEA-77F4-49D0-9EC8-B4C17F7465A9}">
    <xltc:text>TRS.xlsx, I16 / BP. Original Images uses I01–I19 in extraction order. </xltc:text>
  </xltc:threadedComment>
  <xltc:threadedComment ref="C51" dT="2026-09-08T04:31:41.457" personId="{1876A7EE-C7A4-4674-B574-E1272150C974}" id="{7FE138AC-FECA-4A79-AD92-8EA12FA0A677}">
    <xltc:text>TRS.xlsx, I16 / BP. Original Images uses I01–I19 in extraction order. </xltc:text>
  </xltc:threadedComment>
  <xltc:threadedComment ref="B52" dT="2026-09-08T04:31:41.457" personId="{1876A7EE-C7A4-4674-B574-E1272150C974}" id="{59DD4297-5E04-41AB-BE6D-613DD06FAAC1}">
    <xltc:text>TRS.xlsx, I16 / BQ. Original Images uses I01–I19 in extraction order. </xltc:text>
  </xltc:threadedComment>
  <xltc:threadedComment ref="C52" dT="2026-09-08T04:31:41.457" personId="{1876A7EE-C7A4-4674-B574-E1272150C974}" id="{6039DB87-61F3-4093-AAE5-271CED6C54B7}">
    <xltc:text>TRS.xlsx, I16 / BQ. Original Images uses I01–I19 in extraction order. </xltc:text>
  </xltc:threadedComment>
  <xltc:threadedComment ref="B53" dT="2026-09-08T04:31:41.457" personId="{1876A7EE-C7A4-4674-B574-E1272150C974}" id="{209A8E9F-562F-4CE9-97C4-FCEA8790A81F}">
    <xltc:text>TRS.xlsx, I16 / BR. Original Images uses I01–I19 in extraction order. </xltc:text>
  </xltc:threadedComment>
  <xltc:threadedComment ref="C53" dT="2026-09-08T04:31:41.457" personId="{1876A7EE-C7A4-4674-B574-E1272150C974}" id="{2D06DF2D-52B6-4085-9A16-F54074AD0F49}">
    <xltc:text>TRS.xlsx, I16 / BR. Original Images uses I01–I19 in extraction order. </xltc:text>
  </xltc:threadedComment>
  <xltc:threadedComment ref="B54" dT="2026-09-08T04:31:41.457" personId="{1876A7EE-C7A4-4674-B574-E1272150C974}" id="{B377E2AC-54D4-4A5D-BFA5-75697EFEECB9}">
    <xltc:text>TRS.xlsx, I17 / BS. Original Images uses I01–I19 in extraction order. Known TRS COF only. No swap COF figure is provided.</xltc:text>
  </xltc:threadedComment>
  <xltc:threadedComment ref="C54" dT="2026-09-08T04:31:41.457" personId="{1876A7EE-C7A4-4674-B574-E1272150C974}" id="{BAD58926-1F3D-47F7-B1AE-040CB76B7070}">
    <xltc:text>TRS.xlsx, I17 / BS. Original Images uses I01–I19 in extraction order. Known TRS COF only. No swap COF figure is provided.</xltc:text>
  </xltc:threadedComment>
  <xltc:threadedComment ref="B55" dT="2026-09-08T04:31:41.457" personId="{1876A7EE-C7A4-4674-B574-E1272150C974}" id="{19ABA8D1-CE8E-4438-83C3-7858E403F148}">
    <xltc:text>TRS.xlsx, I18 / C. Original Images uses I01–I19 in extraction order. Alternative vendor timestamp; not the requested EOD input.</xltc:text>
  </xltc:threadedComment>
  <xltc:threadedComment ref="B56" dT="2026-09-08T04:31:41.457" personId="{1876A7EE-C7A4-4674-B574-E1272150C974}" id="{DE0F9B72-EA80-40F2-9853-47469E40AD5C}">
    <xltc:text>TRS.xlsx, I18 / D. Original Images uses I01–I19 in extraction order. </xltc:text>
  </xltc:threadedComment>
  <xltc:threadedComment ref="B57" dT="2026-09-08T04:31:41.457" personId="{1876A7EE-C7A4-4674-B574-E1272150C974}" id="{4737CBA9-72E5-4C47-81D1-FADA5940D01E}">
    <xltc:text>TRS.xlsx, I18 / E. Original Images uses I01–I19 in extraction order. </xltc:text>
  </xltc:threadedComment>
  <xltc:threadedComment ref="B58" dT="2026-09-08T04:31:41.457" personId="{1876A7EE-C7A4-4674-B574-E1272150C974}" id="{12BABED0-C9B5-47B4-BBB7-94E9DF6EC448}">
    <xltc:text>TRS.xlsx, I05 / R. Original Images uses I01–I19 in extraction order. Not used to reprice the bond; the exact clean-price formula is used.</xltc:text>
  </xltc:threadedComment>
  <xltc:threadedComment ref="C58" dT="2026-09-08T04:31:41.457" personId="{1876A7EE-C7A4-4674-B574-E1272150C974}" id="{81EB4F69-8E70-4D1D-B680-5C119F6F8DDF}">
    <xltc:text>TRS.xlsx, I05 / R. Original Images uses I01–I19 in extraction order. Not used to reprice the bond; the exact clean-price formula is used.</xltc:text>
  </xltc:threadedComment>
  <xltc:threadedComment ref="D58" dT="2026-09-08T04:31:41.457" personId="{1876A7EE-C7A4-4674-B574-E1272150C974}" id="{B5D67C7F-AD23-4860-8F2B-A8D82EB96FDA}">
    <xltc:text>TRS.xlsx, I05 / R. Original Images uses I01–I19 in extraction order. Not used to reprice the bond; the exact clean-price formula is used.</xltc:text>
  </xltc:threadedComment>
  <xltc:threadedComment ref="B59" dT="2026-09-08T04:31:41.457" personId="{1876A7EE-C7A4-4674-B574-E1272150C974}" id="{AF963779-9DA8-4EAE-8EB7-FB7C6993EE79}">
    <xltc:text>TRS.xlsx, I05 / T. Original Images uses I01–I19 in extraction order. </xltc:text>
  </xltc:threadedComment>
  <xltc:threadedComment ref="C59" dT="2026-09-08T04:31:41.457" personId="{1876A7EE-C7A4-4674-B574-E1272150C974}" id="{14283FC5-BB43-4C88-A920-5F1612173B9F}">
    <xltc:text>TRS.xlsx, I05 / T. Original Images uses I01–I19 in extraction order. </xltc:text>
  </xltc:threadedComment>
  <xltc:threadedComment ref="D59" dT="2026-09-08T04:31:41.457" personId="{1876A7EE-C7A4-4674-B574-E1272150C974}" id="{456973A3-2E27-4E3C-99F1-94AA2C4C487A}">
    <xltc:text>TRS.xlsx, I05 / T. Original Images uses I01–I19 in extraction order. </xltc:text>
  </xltc:threadedComment>
  <xltc:threadedComment ref="B60" dT="2026-09-08T04:31:41.457" personId="{1876A7EE-C7A4-4674-B574-E1272150C974}" id="{DE0F711C-13F4-4C3C-A8FF-CF3862CA303A}">
    <xltc:text>TRS.xlsx, I09 / CM. Original Images uses I01–I19 in extraction order. Retained as displayed; not interpreted as a tenor.</xltc:text>
  </xltc:threadedComment>
  <xltc:threadedComment ref="C60" dT="2026-09-08T04:31:41.457" personId="{1876A7EE-C7A4-4674-B574-E1272150C974}" id="{E6548DB5-08FA-4872-B0F7-E3299495DCEC}">
    <xltc:text>TRS.xlsx, I09 / CM. Original Images uses I01–I19 in extraction order. Retained as displayed; not interpreted as a tenor.</xltc:text>
  </xltc:threadedComment>
  <xltc:threadedComment ref="D60" dT="2026-09-08T04:31:41.457" personId="{1876A7EE-C7A4-4674-B574-E1272150C974}" id="{A3DAE064-83F7-4019-918F-0F23B37FE22A}">
    <xltc:text>TRS.xlsx, I09 / CM. Original Images uses I01–I19 in extraction order. Retained as displayed; not interpreted as a tenor.</xltc:text>
  </xltc:threadedComment>
  <xltc:threadedComment ref="B61" dT="2026-09-08T04:31:41.457" personId="{1876A7EE-C7A4-4674-B574-E1272150C974}" id="{7B654D1F-C6AD-4FBA-9CBB-6D939ED5E668}">
    <xltc:text>TRS.xlsx, I09 / CO. Original Images uses I01–I19 in extraction order. </xltc:text>
  </xltc:threadedComment>
  <xltc:threadedComment ref="C61" dT="2026-09-08T04:31:41.457" personId="{1876A7EE-C7A4-4674-B574-E1272150C974}" id="{0C21D4EB-090E-47AA-81F2-9D71822F9499}">
    <xltc:text>TRS.xlsx, I09 / CO. Original Images uses I01–I19 in extraction order. </xltc:text>
  </xltc:threadedComment>
  <xltc:threadedComment ref="D61" dT="2026-09-08T04:31:41.457" personId="{1876A7EE-C7A4-4674-B574-E1272150C974}" id="{53897F9E-0DDC-4010-AE4E-AEFF5663483E}">
    <xltc:text>TRS.xlsx, I09 / CO. Original Images uses I01–I19 in extraction order. </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0916501098a34029" /><Relationship Type="http://schemas.openxmlformats.org/officeDocument/2006/relationships/vmlDrawing" Target="/xl/drawings/vmldrawing.vml" Id="R59e9614a3b624969" /><Relationship Type="http://schemas.microsoft.com/office/2017/10/relationships/threadedComment" Target="/xl/threadedcomments/threadedcomment.xml" Id="R15de79f27aa243df" /></Relationships>
</file>

<file path=xl/worksheets/_rels/sheet3.xml.rels>&#65279;<?xml version="1.0" encoding="utf-8"?><Relationships xmlns="http://schemas.openxmlformats.org/package/2006/relationships"><Relationship Type="http://schemas.openxmlformats.org/officeDocument/2006/relationships/comments" Target="/xl/comments2.xml" Id="R24b7164f8a214c7e" /><Relationship Type="http://schemas.openxmlformats.org/officeDocument/2006/relationships/vmlDrawing" Target="/xl/drawings/vmldrawing2.vml" Id="R687a2a7426fb4b15" /><Relationship Type="http://schemas.microsoft.com/office/2017/10/relationships/threadedComment" Target="/xl/threadedcomments/threadedcomment2.xml" Id="Rf606115ecb164254" /></Relationships>
</file>

<file path=xl/worksheets/_rels/sheet4.xml.rels>&#65279;<?xml version="1.0" encoding="utf-8"?><Relationships xmlns="http://schemas.openxmlformats.org/package/2006/relationships"><Relationship Type="http://schemas.openxmlformats.org/officeDocument/2006/relationships/comments" Target="/xl/comments3.xml" Id="R5776e08f849f48e9" /><Relationship Type="http://schemas.openxmlformats.org/officeDocument/2006/relationships/vmlDrawing" Target="/xl/drawings/vmldrawing3.vml" Id="R0064b5c542354b72" /><Relationship Type="http://schemas.microsoft.com/office/2017/10/relationships/threadedComment" Target="/xl/threadedcomments/threadedcomment3.xml" Id="R829aa73e68804383" /></Relationships>
</file>

<file path=xl/worksheets/_rels/sheet5.xml.rels>&#65279;<?xml version="1.0" encoding="utf-8"?><Relationships xmlns="http://schemas.openxmlformats.org/package/2006/relationships"><Relationship Type="http://schemas.openxmlformats.org/officeDocument/2006/relationships/comments" Target="/xl/comments4.xml" Id="R2d0b08845238414c" /><Relationship Type="http://schemas.openxmlformats.org/officeDocument/2006/relationships/vmlDrawing" Target="/xl/drawings/vmldrawing4.vml" Id="R1cef0592909a470f" /><Relationship Type="http://schemas.microsoft.com/office/2017/10/relationships/threadedComment" Target="/xl/threadedcomments/threadedcomment4.xml" Id="R036bd49eeb0440fc" /></Relationships>
</file>

<file path=xl/worksheets/_rels/sheet7.xml.rels>&#65279;<?xml version="1.0" encoding="utf-8"?><Relationships xmlns="http://schemas.openxmlformats.org/package/2006/relationships"><Relationship Type="http://schemas.openxmlformats.org/officeDocument/2006/relationships/drawing" Target="/xl/drawings/drawing1.xml" Id="R628b120f78ea48f4" /></Relationships>
</file>

<file path=xl/worksheets/_rels/sheet10.xml.rels>&#65279;<?xml version="1.0" encoding="utf-8"?><Relationships xmlns="http://schemas.openxmlformats.org/package/2006/relationships"><Relationship Type="http://schemas.openxmlformats.org/officeDocument/2006/relationships/drawing" Target="/xl/drawings/drawing2.xml" Id="R2ed1a81f24334b11" /></Relationships>
</file>

<file path=xl/worksheets/sheet1.xml><?xml version="1.0" encoding="utf-8"?>
<x:worksheet xmlns:x="http://schemas.openxmlformats.org/spreadsheetml/2006/main">
  <x:sheetViews>
    <x:sheetView showGridLines="0" workbookViewId="0"/>
  </x:sheetViews>
  <x:sheetFormatPr defaultRowHeight="15"/>
  <x:cols>
    <x:col min="1" max="1" width="4" hidden="0" customWidth="1"/>
    <x:col min="2" max="2" width="48" hidden="0" customWidth="1"/>
    <x:col min="3" max="3" width="28" hidden="0" customWidth="1"/>
    <x:col min="4" max="4" width="4" hidden="0" customWidth="1"/>
    <x:col min="5" max="5" width="47" hidden="0" customWidth="1"/>
    <x:col min="6" max="6" width="28" hidden="0" customWidth="1"/>
  </x:cols>
  <x:sheetData>
    <x:row r="1" ht="39" customHeight="1">
      <x:c r="A1" s="5" t="str">
        <x:v>TRS PACKAGE | 4 AUG 2026</x:v>
      </x:c>
      <x:c r="B1" s="5" t="str">
        <x:v>TRS PACKAGE | 4 AUG 2026</x:v>
      </x:c>
      <x:c r="C1" s="5" t="str">
        <x:v>TRS PACKAGE | 4 AUG 2026</x:v>
      </x:c>
      <x:c r="D1" s="5" t="str">
        <x:v>TRS PACKAGE | 4 AUG 2026</x:v>
      </x:c>
      <x:c r="E1" s="5" t="str">
        <x:v>TRS PACKAGE | 4 AUG 2026</x:v>
      </x:c>
      <x:c r="F1" s="5" t="str">
        <x:v>TRS PACKAGE | 4 AUG 2026</x:v>
      </x:c>
    </x:row>
    <x:row r="2" ht="43" customHeight="1">
      <x:c r="A2" s="6" t="str">
        <x:v>TRS 5384929 / CRD779 + Summit swap 9088076H / AMHCRD779T. Amounts below are USD. Change the yellow price cell to run a bond-price-only scenario.</x:v>
      </x:c>
      <x:c r="B2" s="3" t="str">
        <x:v>TRS 5384929 / CRD779 + Summit swap 9088076H / AMHCRD779T. Amounts below are USD. Change the yellow price cell to run a bond-price-only scenario.</x:v>
      </x:c>
      <x:c r="C2" s="3" t="str">
        <x:v>TRS 5384929 / CRD779 + Summit swap 9088076H / AMHCRD779T. Amounts below are USD. Change the yellow price cell to run a bond-price-only scenario.</x:v>
      </x:c>
      <x:c r="D2" s="3" t="str">
        <x:v>TRS 5384929 / CRD779 + Summit swap 9088076H / AMHCRD779T. Amounts below are USD. Change the yellow price cell to run a bond-price-only scenario.</x:v>
      </x:c>
      <x:c r="E2" s="3" t="str">
        <x:v>TRS 5384929 / CRD779 + Summit swap 9088076H / AMHCRD779T. Amounts below are USD. Change the yellow price cell to run a bond-price-only scenario.</x:v>
      </x:c>
      <x:c r="F2" s="3" t="str">
        <x:v>TRS 5384929 / CRD779 + Summit swap 9088076H / AMHCRD779T. Amounts below are USD. Change the yellow price cell to run a bond-price-only scenario.</x:v>
      </x:c>
    </x:row>
    <x:row r="3" ht="23" customHeight="1">
      <x:c r="A3" s="2"/>
      <x:c r="B3" s="2"/>
      <x:c r="C3" s="2"/>
      <x:c r="D3" s="2"/>
      <x:c r="E3" s="2"/>
      <x:c r="F3" s="2"/>
    </x:row>
    <x:row r="4" ht="23" customHeight="1">
      <x:c r="A4" s="2"/>
      <x:c r="B4" s="2"/>
      <x:c r="C4" s="2"/>
      <x:c r="D4" s="2"/>
      <x:c r="E4" s="2"/>
      <x:c r="F4" s="2"/>
    </x:row>
    <x:row r="5" ht="23" customHeight="1">
      <x:c r="A5" s="2"/>
      <x:c r="B5" s="96" t="str">
        <x:v>EOD CLEAN BOND PRICE</x:v>
      </x:c>
      <x:c r="C5" s="2"/>
      <x:c r="D5" s="2"/>
      <x:c r="E5" s="2" t="str">
        <x:v>PRICE SHOCK VS 108.5758</x:v>
      </x:c>
      <x:c r="F5" s="2"/>
    </x:row>
    <x:row r="6" ht="43" customHeight="1">
      <x:c r="A6" s="2"/>
      <x:c r="B6" s="2" t="str">
        <x:v>Enter price per 100 face value →</x:v>
      </x:c>
      <x:c r="C6" s="98" t="n">
        <x:v>108.5758</x:v>
      </x:c>
      <x:c r="D6" s="2"/>
      <x:c r="E6" s="2"/>
      <x:c r="F6" s="101" t="n">
        <x:f>C6-'Inputs'!$B$6</x:f>
        <x:v>0</x:v>
      </x:c>
    </x:row>
    <x:row r="7" ht="23" customHeight="1">
      <x:c r="A7" s="2"/>
      <x:c r="B7" s="2"/>
      <x:c r="C7" s="2"/>
      <x:c r="D7" s="2"/>
      <x:c r="E7" s="2"/>
      <x:c r="F7" s="2"/>
    </x:row>
    <x:row r="8" ht="27" customHeight="1">
      <x:c r="A8" s="49" t="str">
        <x:v>PACKAGE RESULTS | FORMULA-DRIVEN OUTPUTS</x:v>
      </x:c>
      <x:c r="B8" s="49" t="str">
        <x:v>PACKAGE RESULTS | FORMULA-DRIVEN OUTPUTS</x:v>
      </x:c>
      <x:c r="C8" s="49" t="str">
        <x:v>PACKAGE RESULTS | FORMULA-DRIVEN OUTPUTS</x:v>
      </x:c>
      <x:c r="D8" s="49" t="str">
        <x:v>PACKAGE RESULTS | FORMULA-DRIVEN OUTPUTS</x:v>
      </x:c>
      <x:c r="E8" s="49" t="str">
        <x:v>PACKAGE RESULTS | FORMULA-DRIVEN OUTPUTS</x:v>
      </x:c>
      <x:c r="F8" s="49" t="str">
        <x:v>PACKAGE RESULTS | FORMULA-DRIVEN OUTPUTS</x:v>
      </x:c>
    </x:row>
    <x:row r="9" ht="23" customHeight="1">
      <x:c r="A9" s="2"/>
      <x:c r="B9" s="2"/>
      <x:c r="C9" s="2"/>
      <x:c r="D9" s="2"/>
      <x:c r="E9" s="2"/>
      <x:c r="F9" s="2"/>
    </x:row>
    <x:row r="10" ht="23" customHeight="1">
      <x:c r="A10" s="2"/>
      <x:c r="B10" s="2" t="str">
        <x:v>Reported YTD P&amp;L</x:v>
      </x:c>
      <x:c r="C10" s="2"/>
      <x:c r="D10" s="2"/>
      <x:c r="E10" s="2" t="str">
        <x:v>Closing MTM, consistent FX</x:v>
      </x:c>
      <x:c r="F10" s="2"/>
    </x:row>
    <x:row r="11" ht="37" customHeight="1">
      <x:c r="A11" s="2"/>
      <x:c r="B11" s="2"/>
      <x:c r="C11" s="103" t="n">
        <x:f>'Summit Replication'!B29</x:f>
        <x:v>231533.8400000012</x:v>
      </x:c>
      <x:c r="D11" s="2"/>
      <x:c r="E11" s="2"/>
      <x:c r="F11" s="103" t="n">
        <x:f>'Correct Calculation'!B17</x:f>
        <x:v>23939.81999999163</x:v>
      </x:c>
    </x:row>
    <x:row r="12" ht="23" customHeight="1">
      <x:c r="A12" s="2"/>
      <x:c r="B12" s="2"/>
      <x:c r="C12" s="2"/>
      <x:c r="D12" s="2"/>
      <x:c r="E12" s="2"/>
      <x:c r="F12" s="2"/>
    </x:row>
    <x:row r="13" ht="23" customHeight="1">
      <x:c r="A13" s="2"/>
      <x:c r="B13" s="2" t="str">
        <x:v>YTD + known TRS COF</x:v>
      </x:c>
      <x:c r="C13" s="2"/>
      <x:c r="D13" s="2"/>
      <x:c r="E13" s="2" t="str">
        <x:v>Price-only change in package</x:v>
      </x:c>
      <x:c r="F13" s="2"/>
    </x:row>
    <x:row r="14" ht="37" customHeight="1">
      <x:c r="A14" s="2"/>
      <x:c r="B14" s="2"/>
      <x:c r="C14" s="103" t="n">
        <x:f>'Summit Replication'!B35</x:f>
        <x:v>-88872.17509999883</x:v>
      </x:c>
      <x:c r="D14" s="2"/>
      <x:c r="E14" s="2"/>
      <x:c r="F14" s="103" t="n">
        <x:f>'Summit Replication'!B29-'Summit Replication'!C29</x:f>
        <x:v>0</x:v>
      </x:c>
    </x:row>
    <x:row r="15" ht="23" customHeight="1">
      <x:c r="A15" s="2"/>
      <x:c r="B15" s="2"/>
      <x:c r="C15" s="2"/>
      <x:c r="D15" s="2"/>
      <x:c r="E15" s="2"/>
      <x:c r="F15" s="2"/>
    </x:row>
    <x:row r="16" ht="23" customHeight="1">
      <x:c r="A16" s="2"/>
      <x:c r="B16" s="2" t="str">
        <x:v>YTD / closing-value bridge</x:v>
      </x:c>
      <x:c r="C16" s="2"/>
      <x:c r="D16" s="2"/>
      <x:c r="E16" s="2" t="str">
        <x:v>PV supplied for swap 9088076H</x:v>
      </x:c>
      <x:c r="F16" s="2"/>
    </x:row>
    <x:row r="17" ht="37" customHeight="1">
      <x:c r="A17" s="2"/>
      <x:c r="B17" s="2"/>
      <x:c r="C17" s="103" t="n">
        <x:f>'Inputs'!$B$49</x:f>
        <x:v>207594.02000001073</x:v>
      </x:c>
      <x:c r="D17" s="2"/>
      <x:c r="E17" s="2"/>
      <x:c r="F17" s="103" t="n">
        <x:f>'Inputs'!$B$17</x:f>
        <x:v>5616.06</x:v>
      </x:c>
    </x:row>
    <x:row r="18" ht="23" customHeight="1">
      <x:c r="A18" s="2"/>
      <x:c r="B18" s="2"/>
      <x:c r="C18" s="2"/>
      <x:c r="D18" s="2"/>
      <x:c r="E18" s="2"/>
      <x:c r="F18" s="2"/>
    </x:row>
    <x:row r="19" ht="58" customHeight="1">
      <x:c r="A19" s="66" t="str">
        <x:v>RECONCILED REPORT, LIMITED INDEPENDENCE: accrued funding and the historical YTD bridge still depend on source observations. The screenshots do not contain the SOFR history, full forward/discount data or ledger history required to reconstruct them independently.</x:v>
      </x:c>
      <x:c r="B19" s="66" t="str">
        <x:v>RECONCILED REPORT, LIMITED INDEPENDENCE: accrued funding and the historical YTD bridge still depend on source observations. The screenshots do not contain the SOFR history, full forward/discount data or ledger history required to reconstruct them independently.</x:v>
      </x:c>
      <x:c r="C19" s="66" t="str">
        <x:v>RECONCILED REPORT, LIMITED INDEPENDENCE: accrued funding and the historical YTD bridge still depend on source observations. The screenshots do not contain the SOFR history, full forward/discount data or ledger history required to reconstruct them independently.</x:v>
      </x:c>
      <x:c r="D19" s="66" t="str">
        <x:v>RECONCILED REPORT, LIMITED INDEPENDENCE: accrued funding and the historical YTD bridge still depend on source observations. The screenshots do not contain the SOFR history, full forward/discount data or ledger history required to reconstruct them independently.</x:v>
      </x:c>
      <x:c r="E19" s="66" t="str">
        <x:v>RECONCILED REPORT, LIMITED INDEPENDENCE: accrued funding and the historical YTD bridge still depend on source observations. The screenshots do not contain the SOFR history, full forward/discount data or ledger history required to reconstruct them independently.</x:v>
      </x:c>
      <x:c r="F19" s="66" t="str">
        <x:v>RECONCILED REPORT, LIMITED INDEPENDENCE: accrued funding and the historical YTD bridge still depend on source observations. The screenshots do not contain the SOFR history, full forward/discount data or ledger history required to reconstruct them independently.</x:v>
      </x:c>
    </x:row>
    <x:row r="20" ht="23" customHeight="1">
      <x:c r="A20" s="2"/>
      <x:c r="B20" s="2"/>
      <x:c r="C20" s="2"/>
      <x:c r="D20" s="2"/>
      <x:c r="E20" s="2"/>
      <x:c r="F20" s="2"/>
    </x:row>
    <x:row r="21" ht="23" customHeight="1">
      <x:c r="A21" s="2"/>
      <x:c r="B21" s="2"/>
      <x:c r="C21" s="2"/>
      <x:c r="D21" s="2"/>
      <x:c r="E21" s="2"/>
      <x:c r="F21" s="2"/>
    </x:row>
    <x:row r="22" ht="23" customHeight="1">
      <x:c r="A22" s="2"/>
      <x:c r="B22" s="2" t="str">
        <x:v>Calculation checks</x:v>
      </x:c>
      <x:c r="C22" s="87" t="str">
        <x:f>'Checks'!B5</x:f>
        <x:v>OK</x:v>
      </x:c>
      <x:c r="D22" s="2"/>
      <x:c r="E22" s="2" t="str">
        <x:v>Full independent valuation</x:v>
      </x:c>
      <x:c r="F22" s="104" t="str">
        <x:v>INPUTS MISSING</x:v>
      </x:c>
    </x:row>
    <x:row r="23" ht="23" customHeight="1">
      <x:c r="A23" s="2"/>
      <x:c r="B23" s="2"/>
      <x:c r="C23" s="2"/>
      <x:c r="D23" s="2"/>
      <x:c r="E23" s="2"/>
      <x:c r="F23" s="2"/>
    </x:row>
    <x:row r="24" ht="23" customHeight="1">
      <x:c r="A24" s="2"/>
      <x:c r="B24" s="105" t="str">
        <x:v>How to read this model</x:v>
      </x:c>
      <x:c r="C24" s="3" t="str">
        <x:v>How to read this model</x:v>
      </x:c>
      <x:c r="D24" s="3" t="str">
        <x:v>How to read this model</x:v>
      </x:c>
      <x:c r="E24" s="3" t="str">
        <x:v>How to read this model</x:v>
      </x:c>
      <x:c r="F24" s="3" t="str">
        <x:v>How to read this model</x:v>
      </x:c>
    </x:row>
    <x:row r="25" ht="43" customHeight="1">
      <x:c r="A25" s="2"/>
      <x:c r="B25" s="3" t="str">
        <x:v>Summit Replication reproduces the report’s YTD figures. Correct Calculation separates consistent-date closing value from the YTD reporting bridge, checks bond-accrual timing and avoids adding swap accrual twice.</x:v>
      </x:c>
      <x:c r="C25" s="3" t="str">
        <x:v>Summit Replication reproduces the report’s YTD figures. Correct Calculation separates consistent-date closing value from the YTD reporting bridge, checks bond-accrual timing and avoids adding swap accrual twice.</x:v>
      </x:c>
      <x:c r="D25" s="3" t="str">
        <x:v>Summit Replication reproduces the report’s YTD figures. Correct Calculation separates consistent-date closing value from the YTD reporting bridge, checks bond-accrual timing and avoids adding swap accrual twice.</x:v>
      </x:c>
      <x:c r="E25" s="3" t="str">
        <x:v>Summit Replication reproduces the report’s YTD figures. Correct Calculation separates consistent-date closing value from the YTD reporting bridge, checks bond-accrual timing and avoids adding swap accrual twice.</x:v>
      </x:c>
      <x:c r="F25" s="3" t="str">
        <x:v>Summit Replication reproduces the report’s YTD figures. Correct Calculation separates consistent-date closing value from the YTD reporting bridge, checks bond-accrual timing and avoids adding swap accrual twice.</x:v>
      </x:c>
    </x:row>
    <x:row r="26" ht="23" customHeight="1">
      <x:c r="A26" s="2"/>
      <x:c r="B26" s="2"/>
      <x:c r="C26" s="2"/>
      <x:c r="D26" s="2"/>
      <x:c r="E26" s="2"/>
      <x:c r="F26" s="2"/>
    </x:row>
    <x:row r="27" ht="43" customHeight="1">
      <x:c r="A27" s="2"/>
      <x:c r="B27" s="3" t="str">
        <x:v>Inputs and Source Data show every term, observation and inference. Funding Detail provides a formula-driven route once actual SOFR fixings are available. All 19 screenshots are retained in Original Images.</x:v>
      </x:c>
      <x:c r="C27" s="3" t="str">
        <x:v>Inputs and Source Data show every term, observation and inference. Funding Detail provides a formula-driven route once actual SOFR fixings are available. All 19 screenshots are retained in Original Images.</x:v>
      </x:c>
      <x:c r="D27" s="3" t="str">
        <x:v>Inputs and Source Data show every term, observation and inference. Funding Detail provides a formula-driven route once actual SOFR fixings are available. All 19 screenshots are retained in Original Images.</x:v>
      </x:c>
      <x:c r="E27" s="3" t="str">
        <x:v>Inputs and Source Data show every term, observation and inference. Funding Detail provides a formula-driven route once actual SOFR fixings are available. All 19 screenshots are retained in Original Images.</x:v>
      </x:c>
      <x:c r="F27" s="3" t="str">
        <x:v>Inputs and Source Data show every term, observation and inference. Funding Detail provides a formula-driven route once actual SOFR fixings are available. All 19 screenshots are retained in Original Images.</x:v>
      </x:c>
    </x:row>
    <x:row r="28" ht="23" customHeight="1">
      <x:c r="A28" s="2"/>
      <x:c r="B28" s="2"/>
      <x:c r="C28" s="2"/>
      <x:c r="D28" s="2"/>
      <x:c r="E28" s="2"/>
      <x:c r="F28" s="2"/>
    </x:row>
    <x:row r="29" ht="43" customHeight="1">
      <x:c r="A29" s="2"/>
      <x:c r="B29" s="3" t="str">
        <x:v>Scope: the two supplied trades only. No separate physical bond, hedge, missing swap COF or unprovided cash flow has been invented. Date, FX, funding accrual, historical bridge and supplied swap PV stay fixed when only the bond price changes.</x:v>
      </x:c>
      <x:c r="C29" s="3" t="str">
        <x:v>Scope: the two supplied trades only. No separate physical bond, hedge, missing swap COF or unprovided cash flow has been invented. Date, FX, funding accrual, historical bridge and supplied swap PV stay fixed when only the bond price changes.</x:v>
      </x:c>
      <x:c r="D29" s="3" t="str">
        <x:v>Scope: the two supplied trades only. No separate physical bond, hedge, missing swap COF or unprovided cash flow has been invented. Date, FX, funding accrual, historical bridge and supplied swap PV stay fixed when only the bond price changes.</x:v>
      </x:c>
      <x:c r="E29" s="3" t="str">
        <x:v>Scope: the two supplied trades only. No separate physical bond, hedge, missing swap COF or unprovided cash flow has been invented. Date, FX, funding accrual, historical bridge and supplied swap PV stay fixed when only the bond price changes.</x:v>
      </x:c>
      <x:c r="F29" s="3" t="str">
        <x:v>Scope: the two supplied trades only. No separate physical bond, hedge, missing swap COF or unprovided cash flow has been invented. Date, FX, funding accrual, historical bridge and supplied swap PV stay fixed when only the bond price changes.</x:v>
      </x:c>
    </x:row>
    <x:row r="30" ht="23" customHeight="1">
      <x:c r="A30" s="2"/>
      <x:c r="B30" s="2"/>
      <x:c r="C30" s="2"/>
      <x:c r="D30" s="2"/>
      <x:c r="E30" s="2"/>
      <x:c r="F30" s="2"/>
    </x:row>
    <x:row r="31" ht="23" customHeight="1">
      <x:c r="A31" s="2"/>
      <x:c r="B31" s="2"/>
      <x:c r="C31" s="2"/>
      <x:c r="D31" s="2"/>
      <x:c r="E31" s="2"/>
      <x:c r="F31" s="2"/>
    </x:row>
    <x:row r="32" ht="23" customHeight="1">
      <x:c r="A32" s="2"/>
      <x:c r="B32" s="106" t="str">
        <x:v>Blue / yellow: editable inputs</x:v>
      </x:c>
      <x:c r="C32" s="2"/>
      <x:c r="D32" s="2"/>
      <x:c r="E32" s="107" t="str">
        <x:v>Green: links across sheets</x:v>
      </x:c>
      <x:c r="F32" s="2"/>
    </x:row>
    <x:row r="33" ht="23" customHeight="1">
      <x:c r="A33" s="2"/>
      <x:c r="B33" s="2" t="str">
        <x:v>Black: calculations within a sheet</x:v>
      </x:c>
      <x:c r="C33" s="2"/>
      <x:c r="D33" s="2"/>
      <x:c r="E33" s="104" t="str">
        <x:v>Amber: an unresolved convention or input</x:v>
      </x:c>
      <x:c r="F33" s="2"/>
    </x:row>
    <x:row r="34" ht="23" customHeight="1">
      <x:c r="A34" s="2"/>
      <x:c r="B34" s="2"/>
      <x:c r="C34" s="2"/>
      <x:c r="D34" s="2"/>
      <x:c r="E34" s="2"/>
      <x:c r="F34" s="2"/>
    </x:row>
    <x:row r="35" ht="23" customHeight="1">
      <x:c r="A35" s="2"/>
      <x:c r="B35" s="2"/>
      <x:c r="C35" s="2"/>
      <x:c r="D35" s="2"/>
      <x:c r="E35" s="2"/>
      <x:c r="F35" s="2"/>
    </x:row>
    <x:row r="36" ht="23" customHeight="1">
      <x:c r="A36" s="2"/>
      <x:c r="B36" s="2"/>
      <x:c r="C36" s="2"/>
      <x:c r="D36" s="2"/>
      <x:c r="E36" s="2"/>
      <x:c r="F36" s="2"/>
    </x:row>
  </x:sheetData>
  <x:mergeCells>
    <x:mergeCell ref="A1:F1"/>
    <x:mergeCell ref="A2:F2"/>
    <x:mergeCell ref="A8:F8"/>
    <x:mergeCell ref="A19:F19"/>
    <x:mergeCell ref="B24:F24"/>
    <x:mergeCell ref="B25:F25"/>
    <x:mergeCell ref="B27:F27"/>
    <x:mergeCell ref="B29:F29"/>
  </x:mergeCells>
  <x:dataValidations count="1">
    <x:dataValidation type="decimal" operator="greaterThanOrEqual" sqref="C6">
      <x:formula1>0</x:formula1>
    </x:dataValidation>
  </x:dataValidations>
  <x:pageMargins left="0.7" right="0.7" top="0.75" bottom="0.75" header="0.3" footer="0.3"/>
  <x:legacyDrawing xmlns:r="http://schemas.openxmlformats.org/officeDocument/2006/relationships" r:id="R59e9614a3b624969"/>
</x:worksheet>
</file>

<file path=xl/worksheets/sheet2.xml><?xml version="1.0" encoding="utf-8"?>
<x:worksheet xmlns:x="http://schemas.openxmlformats.org/spreadsheetml/2006/main">
  <x:sheetViews>
    <x:sheetView showGridLines="0" workbookViewId="0"/>
  </x:sheetViews>
  <x:sheetFormatPr defaultRowHeight="15"/>
  <x:cols>
    <x:col min="1" max="1" width="47" hidden="0" customWidth="1"/>
    <x:col min="2" max="2" width="23" hidden="0" customWidth="1"/>
    <x:col min="3" max="3" width="23" hidden="0" customWidth="1"/>
    <x:col min="4" max="4" width="23" hidden="0" customWidth="1"/>
    <x:col min="5" max="5" width="21" hidden="0" customWidth="1"/>
    <x:col min="6" max="6" width="80" hidden="0" customWidth="1"/>
  </x:cols>
  <x:sheetData>
    <x:row r="1" ht="39" customHeight="1">
      <x:c r="A1" s="5" t="str">
        <x:v>SUMMIT / TRS REPORT REPLICATION</x:v>
      </x:c>
      <x:c r="B1" s="5" t="str">
        <x:v>SUMMIT / TRS REPORT REPLICATION</x:v>
      </x:c>
      <x:c r="C1" s="5" t="str">
        <x:v>SUMMIT / TRS REPORT REPLICATION</x:v>
      </x:c>
      <x:c r="D1" s="5" t="str">
        <x:v>SUMMIT / TRS REPORT REPLICATION</x:v>
      </x:c>
      <x:c r="E1" s="5" t="str">
        <x:v>SUMMIT / TRS REPORT REPLICATION</x:v>
      </x:c>
      <x:c r="F1" s="5" t="str">
        <x:v>SUMMIT / TRS REPORT REPLICATION</x:v>
      </x:c>
    </x:row>
    <x:row r="2" ht="43" customHeight="1">
      <x:c r="A2" s="6" t="str">
        <x:v>Scenario changes only today’s clean bond price. Historical P&amp;L bridge, observed accrued funding, FX, cash and the supplied swap PV are held fixed.</x:v>
      </x:c>
      <x:c r="B2" s="3" t="str">
        <x:v>Scenario changes only today’s clean bond price. Historical P&amp;L bridge, observed accrued funding, FX, cash and the supplied swap PV are held fixed.</x:v>
      </x:c>
      <x:c r="C2" s="3" t="str">
        <x:v>Scenario changes only today’s clean bond price. Historical P&amp;L bridge, observed accrued funding, FX, cash and the supplied swap PV are held fixed.</x:v>
      </x:c>
      <x:c r="D2" s="3" t="str">
        <x:v>Scenario changes only today’s clean bond price. Historical P&amp;L bridge, observed accrued funding, FX, cash and the supplied swap PV are held fixed.</x:v>
      </x:c>
      <x:c r="E2" s="3" t="str">
        <x:v>Scenario changes only today’s clean bond price. Historical P&amp;L bridge, observed accrued funding, FX, cash and the supplied swap PV are held fixed.</x:v>
      </x:c>
      <x:c r="F2" s="3" t="str">
        <x:v>Scenario changes only today’s clean bond price. Historical P&amp;L bridge, observed accrued funding, FX, cash and the supplied swap PV are held fixed.</x:v>
      </x:c>
    </x:row>
    <x:row r="3" ht="23" customHeight="1">
      <x:c r="A3" s="2"/>
      <x:c r="B3" s="2"/>
      <x:c r="C3" s="2"/>
      <x:c r="D3" s="2"/>
      <x:c r="E3" s="2"/>
      <x:c r="F3" s="2"/>
    </x:row>
    <x:row r="4" ht="34" customHeight="1">
      <x:c r="A4" s="9" t="str">
        <x:v>Component</x:v>
      </x:c>
      <x:c r="B4" s="9" t="str">
        <x:v>Scenario</x:v>
      </x:c>
      <x:c r="C4" s="9" t="str">
        <x:v>4-Aug baseline</x:v>
      </x:c>
      <x:c r="D4" s="9" t="str">
        <x:v>Observed report</x:v>
      </x:c>
      <x:c r="E4" s="9" t="str">
        <x:v>Baseline difference</x:v>
      </x:c>
      <x:c r="F4" s="9" t="str">
        <x:v>Method / source dependency</x:v>
      </x:c>
    </x:row>
    <x:row r="5" ht="42" customHeight="1">
      <x:c r="A5" s="3" t="str">
        <x:v>Clean bond price per 100</x:v>
      </x:c>
      <x:c r="B5" s="114" t="n">
        <x:f>'Price Input'!$C$6</x:f>
        <x:v>108.5758</x:v>
      </x:c>
      <x:c r="C5" s="114" t="n">
        <x:f>'Inputs'!$B$6</x:f>
        <x:v>108.5758</x:v>
      </x:c>
      <x:c r="D5" s="114" t="n">
        <x:f>'Inputs'!$B$6</x:f>
        <x:v>108.5758</x:v>
      </x:c>
      <x:c r="E5" s="115" t="n">
        <x:f>C5-D5</x:f>
        <x:v>0</x:v>
      </x:c>
      <x:c r="F5" s="3" t="str">
        <x:v>Default EOD price supplied by you: 108.5758.</x:v>
      </x:c>
    </x:row>
    <x:row r="6" ht="42" customHeight="1">
      <x:c r="A6" s="3" t="str">
        <x:v>Bond AI per 100</x:v>
      </x:c>
      <x:c r="B6" s="116" t="n">
        <x:f>ROUND('Inputs'!$B$11*'Inputs'!$B$25*'Inputs'!$B$40/'Inputs'!$B$28,'Inputs'!$B$29)</x:f>
        <x:v>1.25764</x:v>
      </x:c>
      <x:c r="C6" s="117" t="n">
        <x:f>B6</x:f>
        <x:v>1.25764</x:v>
      </x:c>
      <x:c r="D6" s="116" t="n">
        <x:f>'Inputs'!$B$39</x:f>
        <x:v>1.2576399999999999</x:v>
      </x:c>
      <x:c r="E6" s="117" t="n">
        <x:f>C6-D6</x:f>
        <x:v>2.220446049250313e-16</x:v>
      </x:c>
      <x:c r="F6" s="3" t="str">
        <x:v>Coupon × inferred 152 / 365, rounded to 5 decimals per 100.</x:v>
      </x:c>
    </x:row>
    <x:row r="7" ht="42" customHeight="1">
      <x:c r="A7" s="3" t="str">
        <x:v>Short dirty bond value — CNY</x:v>
      </x:c>
      <x:c r="B7" s="118" t="n">
        <x:f>'Inputs'!$B$7*(B5+B6)/'Inputs'!$B$25</x:f>
        <x:v>-527200512</x:v>
      </x:c>
      <x:c r="C7" s="118" t="n">
        <x:f>'Inputs'!$B$7*(C5+C6)/'Inputs'!$B$25</x:f>
        <x:v>-527200512</x:v>
      </x:c>
      <x:c r="D7" s="118" t="n">
        <x:f>'Source Data'!$B$6</x:f>
        <x:v>-527200512</x:v>
      </x:c>
      <x:c r="E7" s="119" t="n">
        <x:f>C7-D7</x:f>
        <x:v>0</x:v>
      </x:c>
      <x:c r="F7" s="3" t="str">
        <x:v>Signed nominal × (clean price + AI) / 100.</x:v>
      </x:c>
    </x:row>
    <x:row r="8" ht="42" customHeight="1">
      <x:c r="A8" s="3" t="str">
        <x:v>Reporting FX — CNY per USD</x:v>
      </x:c>
      <x:c r="B8" s="114" t="n">
        <x:f>'Inputs'!$B$38</x:f>
        <x:v>6.7527</x:v>
      </x:c>
      <x:c r="C8" s="115" t="n">
        <x:f>B8</x:f>
        <x:v>6.7527</x:v>
      </x:c>
      <x:c r="D8" s="120"/>
      <x:c r="E8" s="120"/>
      <x:c r="F8" s="3" t="str">
        <x:v>Derived from source local and translated BS amounts, rounded to 4 decimals.</x:v>
      </x:c>
    </x:row>
    <x:row r="9" ht="42" customHeight="1">
      <x:c r="A9" s="3" t="str">
        <x:v>Short dirty bond value — USD</x:v>
      </x:c>
      <x:c r="B9" s="118" t="n">
        <x:f>ROUND(B7/B8,'Inputs'!$B$31)</x:f>
        <x:v>-78072550.54</x:v>
      </x:c>
      <x:c r="C9" s="118" t="n">
        <x:f>ROUND(C7/C8,'Inputs'!$B$31)</x:f>
        <x:v>-78072550.54</x:v>
      </x:c>
      <x:c r="D9" s="118" t="n">
        <x:f>'Source Data'!$B$7</x:f>
        <x:v>-78072550.54</x:v>
      </x:c>
      <x:c r="E9" s="119" t="n">
        <x:f>C9-D9</x:f>
        <x:v>0</x:v>
      </x:c>
      <x:c r="F9" s="3" t="str">
        <x:v>Divide CNY by CNY per USD.</x:v>
      </x:c>
    </x:row>
    <x:row r="10" ht="42" customHeight="1">
      <x:c r="A10" s="3" t="str">
        <x:v>USD financing principal</x:v>
      </x:c>
      <x:c r="B10" s="118" t="n">
        <x:f>'Inputs'!$B$8</x:f>
        <x:v>77586204.08</x:v>
      </x:c>
      <x:c r="C10" s="119" t="n">
        <x:f>B10</x:f>
        <x:v>77586204.08</x:v>
      </x:c>
      <x:c r="D10" s="118" t="n">
        <x:f>'Source Data'!$C$59</x:f>
        <x:v>77586204.08</x:v>
      </x:c>
      <x:c r="E10" s="119" t="n">
        <x:f>C10-D10</x:f>
        <x:v>0</x:v>
      </x:c>
      <x:c r="F10" s="3" t="str">
        <x:v>Contractual financing notional.</x:v>
      </x:c>
    </x:row>
    <x:row r="11" ht="42" customHeight="1">
      <x:c r="A11" s="3" t="str">
        <x:v>USD funding accrued interest</x:v>
      </x:c>
      <x:c r="B11" s="118" t="n">
        <x:f>'Inputs'!$B$46</x:f>
        <x:v>504670.22</x:v>
      </x:c>
      <x:c r="C11" s="119" t="n">
        <x:f>B11</x:f>
        <x:v>504670.22</x:v>
      </x:c>
      <x:c r="D11" s="118" t="n">
        <x:f>'Source Data'!$C$18</x:f>
        <x:v>504670.22</x:v>
      </x:c>
      <x:c r="E11" s="119" t="n">
        <x:f>C11-D11</x:f>
        <x:v>0</x:v>
      </x:c>
      <x:c r="F11" s="3" t="str">
        <x:v>Observed funding anchor. Daily SOFR inputs have not been provided.</x:v>
      </x:c>
    </x:row>
    <x:row r="12" ht="42" customHeight="1">
      <x:c r="A12" s="3" t="str">
        <x:v>USD funding closing leg</x:v>
      </x:c>
      <x:c r="B12" s="119" t="n">
        <x:f>SUM(B10:B11)</x:f>
        <x:v>78090874.3</x:v>
      </x:c>
      <x:c r="C12" s="119" t="n">
        <x:f>SUM(C10:C11)</x:f>
        <x:v>78090874.3</x:v>
      </x:c>
      <x:c r="D12" s="118" t="n">
        <x:f>'Source Data'!$C$7</x:f>
        <x:v>78090874.3</x:v>
      </x:c>
      <x:c r="E12" s="119" t="n">
        <x:f>C12-D12</x:f>
        <x:v>0</x:v>
      </x:c>
      <x:c r="F12" s="3" t="str">
        <x:v>Principal plus accrued interest.</x:v>
      </x:c>
    </x:row>
    <x:row r="13" ht="42" customHeight="1">
      <x:c r="A13" s="3" t="str">
        <x:v>Swap PV — supplied, not repriced</x:v>
      </x:c>
      <x:c r="B13" s="118" t="n">
        <x:f>'Inputs'!$B$17</x:f>
        <x:v>5616.06</x:v>
      </x:c>
      <x:c r="C13" s="119" t="n">
        <x:f>B13</x:f>
        <x:v>5616.06</x:v>
      </x:c>
      <x:c r="D13" s="118" t="n">
        <x:f>'Source Data'!$D$7</x:f>
        <x:v>5616.06</x:v>
      </x:c>
      <x:c r="E13" s="119" t="n">
        <x:f>C13-D13</x:f>
        <x:v>0</x:v>
      </x:c>
      <x:c r="F13" s="3" t="str">
        <x:v>USD 5,616.06 includes reported accrued interest.</x:v>
      </x:c>
    </x:row>
    <x:row r="14" ht="42" customHeight="1">
      <x:c r="A14" s="3" t="str">
        <x:v>TRS native NPV — CNY</x:v>
      </x:c>
      <x:c r="B14" s="119" t="n">
        <x:f>B7+B12*B8</x:f>
        <x:v>123734.8856099844</x:v>
      </x:c>
      <x:c r="C14" s="119" t="n">
        <x:f>C7+C12*C8</x:f>
        <x:v>123734.8856099844</x:v>
      </x:c>
      <x:c r="D14" s="118" t="n">
        <x:f>'Source Data'!$B$16</x:f>
        <x:v>123734.9</x:v>
      </x:c>
      <x:c r="E14" s="119" t="n">
        <x:f>C14-D14</x:f>
        <x:v>-0.01439001559629105</x:v>
      </x:c>
      <x:c r="F14" s="3" t="str">
        <x:v>CNY, not USD. Small source rounding difference is shown.</x:v>
      </x:c>
    </x:row>
    <x:row r="15" ht="42" customHeight="1">
      <x:c r="A15" s="3" t="str">
        <x:v>TRS native accrual — CNY</x:v>
      </x:c>
      <x:c r="B15" s="118" t="n">
        <x:f>'Inputs'!$B$7*B6/'Inputs'!$B$25+B11*B8</x:f>
        <x:v>-2628785.405406</x:v>
      </x:c>
      <x:c r="C15" s="118" t="n">
        <x:f>'Inputs'!$B$7*C6/'Inputs'!$B$25+C11*C8</x:f>
        <x:v>-2628785.405406</x:v>
      </x:c>
      <x:c r="D15" s="118" t="n">
        <x:f>'Source Data'!$B$17</x:f>
        <x:v>-2628785.39</x:v>
      </x:c>
      <x:c r="E15" s="119" t="n">
        <x:f>C15-D15</x:f>
        <x:v>-0.015405999962240458</x:v>
      </x:c>
      <x:c r="F15" s="3" t="str">
        <x:v>CNY bond AI plus USD funding AI translated into CNY.</x:v>
      </x:c>
    </x:row>
    <x:row r="16" ht="42" customHeight="1">
      <x:c r="A16" s="3"/>
      <x:c r="B16" s="120"/>
      <x:c r="C16" s="120"/>
      <x:c r="D16" s="120"/>
      <x:c r="E16" s="120"/>
      <x:c r="F16" s="3"/>
    </x:row>
    <x:row r="17" ht="28" customHeight="1">
      <x:c r="A17" s="49" t="str">
        <x:v>CLOSING MTM | CONSISTENT 4-AUG TRANSLATION</x:v>
      </x:c>
      <x:c r="B17" s="121" t="str">
        <x:v>CLOSING MTM | CONSISTENT 4-AUG TRANSLATION</x:v>
      </x:c>
      <x:c r="C17" s="121" t="str">
        <x:v>CLOSING MTM | CONSISTENT 4-AUG TRANSLATION</x:v>
      </x:c>
      <x:c r="D17" s="121" t="str">
        <x:v>CLOSING MTM | CONSISTENT 4-AUG TRANSLATION</x:v>
      </x:c>
      <x:c r="E17" s="121" t="str">
        <x:v>CLOSING MTM | CONSISTENT 4-AUG TRANSLATION</x:v>
      </x:c>
      <x:c r="F17" s="49" t="str">
        <x:v>CLOSING MTM | CONSISTENT 4-AUG TRANSLATION</x:v>
      </x:c>
    </x:row>
    <x:row r="18" ht="42" customHeight="1">
      <x:c r="A18" s="3" t="str">
        <x:v>CNY TRS leg, converted to USD</x:v>
      </x:c>
      <x:c r="B18" s="119" t="n">
        <x:f>B9</x:f>
        <x:v>-78072550.54</x:v>
      </x:c>
      <x:c r="C18" s="119" t="n">
        <x:f>C9</x:f>
        <x:v>-78072550.54</x:v>
      </x:c>
      <x:c r="D18" s="118" t="n">
        <x:f>'Source Data'!$B$7</x:f>
        <x:v>-78072550.54</x:v>
      </x:c>
      <x:c r="E18" s="119" t="n">
        <x:f>C18-D18</x:f>
        <x:v>0</x:v>
      </x:c>
      <x:c r="F18" s="3" t="str">
        <x:v>Current translated closing amount.</x:v>
      </x:c>
    </x:row>
    <x:row r="19" ht="42" customHeight="1">
      <x:c r="A19" s="3" t="str">
        <x:v>USD TRS funding leg</x:v>
      </x:c>
      <x:c r="B19" s="119" t="n">
        <x:f>B12</x:f>
        <x:v>78090874.3</x:v>
      </x:c>
      <x:c r="C19" s="119" t="n">
        <x:f>C12</x:f>
        <x:v>78090874.3</x:v>
      </x:c>
      <x:c r="D19" s="118" t="n">
        <x:f>'Source Data'!$C$7</x:f>
        <x:v>78090874.3</x:v>
      </x:c>
      <x:c r="E19" s="119" t="n">
        <x:f>C19-D19</x:f>
        <x:v>0</x:v>
      </x:c>
      <x:c r="F19" s="3" t="str">
        <x:v>Source-aligned financing balance.</x:v>
      </x:c>
    </x:row>
    <x:row r="20" ht="42" customHeight="1">
      <x:c r="A20" s="3" t="str">
        <x:v>Summit swap 9088076H</x:v>
      </x:c>
      <x:c r="B20" s="119" t="n">
        <x:f>B13</x:f>
        <x:v>5616.06</x:v>
      </x:c>
      <x:c r="C20" s="119" t="n">
        <x:f>C13</x:f>
        <x:v>5616.06</x:v>
      </x:c>
      <x:c r="D20" s="118" t="n">
        <x:f>'Source Data'!$D$7</x:f>
        <x:v>5616.06</x:v>
      </x:c>
      <x:c r="E20" s="119" t="n">
        <x:f>C20-D20</x:f>
        <x:v>0</x:v>
      </x:c>
      <x:c r="F20" s="3" t="str">
        <x:v>Provided closing PV.</x:v>
      </x:c>
    </x:row>
    <x:row r="21" ht="42" customHeight="1">
      <x:c r="A21" s="81" t="str">
        <x:v>PACKAGE CLOSING MTM — USD</x:v>
      </x:c>
      <x:c r="B21" s="122" t="n">
        <x:f>SUM(B18:B20)</x:f>
        <x:v>23939.819999990465</x:v>
      </x:c>
      <x:c r="C21" s="122" t="n">
        <x:f>SUM(C18:C20)</x:f>
        <x:v>23939.819999990465</x:v>
      </x:c>
      <x:c r="D21" s="123" t="n">
        <x:f>SUM('Source Data'!$B$7:'Source Data'!$D$7)</x:f>
        <x:v>23939.819999990465</x:v>
      </x:c>
      <x:c r="E21" s="122" t="n">
        <x:f>C21-D21</x:f>
        <x:v>0</x:v>
      </x:c>
      <x:c r="F21" s="81" t="str">
        <x:v>Current value under the report’s accrued-funding and bond-AI conventions.</x:v>
      </x:c>
    </x:row>
    <x:row r="22" ht="42" customHeight="1">
      <x:c r="A22" s="3"/>
      <x:c r="B22" s="120"/>
      <x:c r="C22" s="120"/>
      <x:c r="D22" s="120"/>
      <x:c r="E22" s="120"/>
      <x:c r="F22" s="3"/>
    </x:row>
    <x:row r="23" ht="28" customHeight="1">
      <x:c r="A23" s="49" t="str">
        <x:v>YTD P&amp;L | REPORTED USD DEFINITION</x:v>
      </x:c>
      <x:c r="B23" s="121" t="str">
        <x:v>YTD P&amp;L | REPORTED USD DEFINITION</x:v>
      </x:c>
      <x:c r="C23" s="121" t="str">
        <x:v>YTD P&amp;L | REPORTED USD DEFINITION</x:v>
      </x:c>
      <x:c r="D23" s="121" t="str">
        <x:v>YTD P&amp;L | REPORTED USD DEFINITION</x:v>
      </x:c>
      <x:c r="E23" s="121" t="str">
        <x:v>YTD P&amp;L | REPORTED USD DEFINITION</x:v>
      </x:c>
      <x:c r="F23" s="49" t="str">
        <x:v>YTD P&amp;L | REPORTED USD DEFINITION</x:v>
      </x:c>
    </x:row>
    <x:row r="24" ht="42" customHeight="1">
      <x:c r="A24" s="3" t="str">
        <x:v>CNY leg current translated balance</x:v>
      </x:c>
      <x:c r="B24" s="119" t="n">
        <x:f>B18</x:f>
        <x:v>-78072550.54</x:v>
      </x:c>
      <x:c r="C24" s="119" t="n">
        <x:f>C18</x:f>
        <x:v>-78072550.54</x:v>
      </x:c>
      <x:c r="D24" s="118" t="n">
        <x:f>'Source Data'!$B$7</x:f>
        <x:v>-78072550.54</x:v>
      </x:c>
      <x:c r="E24" s="119" t="n">
        <x:f>C24-D24</x:f>
        <x:v>0</x:v>
      </x:c>
      <x:c r="F24" s="3" t="str">
        <x:v>Starting point of the transparent YTD bridge.</x:v>
      </x:c>
    </x:row>
    <x:row r="25" ht="42" customHeight="1">
      <x:c r="A25" s="3" t="str">
        <x:v>Observed historical YTD / BS bridge</x:v>
      </x:c>
      <x:c r="B25" s="118" t="n">
        <x:f>'Inputs'!$B$49</x:f>
        <x:v>207594.02000001073</x:v>
      </x:c>
      <x:c r="C25" s="119" t="n">
        <x:f>B25</x:f>
        <x:v>207594.02000001073</x:v>
      </x:c>
      <x:c r="D25" s="118" t="n">
        <x:f>'Source Data'!$B$9-'Source Data'!$B$7</x:f>
        <x:v>207594.02000001073</x:v>
      </x:c>
      <x:c r="E25" s="119" t="n">
        <x:f>C25-D25</x:f>
        <x:v>0</x:v>
      </x:c>
      <x:c r="F25" s="3" t="str">
        <x:v>Residual from source figures; its economic / accounting cause is not established by the screenshots.</x:v>
      </x:c>
    </x:row>
    <x:row r="26" ht="42" customHeight="1">
      <x:c r="A26" s="3" t="str">
        <x:v>CNY leg reported YTD — USD</x:v>
      </x:c>
      <x:c r="B26" s="119" t="n">
        <x:f>SUM(B24:B25)</x:f>
        <x:v>-77864956.52</x:v>
      </x:c>
      <x:c r="C26" s="119" t="n">
        <x:f>SUM(C24:C25)</x:f>
        <x:v>-77864956.52</x:v>
      </x:c>
      <x:c r="D26" s="118" t="n">
        <x:f>'Source Data'!$B$9</x:f>
        <x:v>-77864956.52</x:v>
      </x:c>
      <x:c r="E26" s="119" t="n">
        <x:f>C26-D26</x:f>
        <x:v>0</x:v>
      </x:c>
      <x:c r="F26" s="3" t="str">
        <x:v>Changing today’s price changes this row at the current reporting FX, not an artificial average FX.</x:v>
      </x:c>
    </x:row>
    <x:row r="27" ht="42" customHeight="1">
      <x:c r="A27" s="3" t="str">
        <x:v>USD TRS leg reported YTD — USD</x:v>
      </x:c>
      <x:c r="B27" s="119" t="n">
        <x:f>B19</x:f>
        <x:v>78090874.3</x:v>
      </x:c>
      <x:c r="C27" s="119" t="n">
        <x:f>C19</x:f>
        <x:v>78090874.3</x:v>
      </x:c>
      <x:c r="D27" s="118" t="n">
        <x:f>'Source Data'!$C$9</x:f>
        <x:v>78090874.3</x:v>
      </x:c>
      <x:c r="E27" s="119" t="n">
        <x:f>C27-D27</x:f>
        <x:v>0</x:v>
      </x:c>
      <x:c r="F27" s="3" t="str">
        <x:v>No YTD cash shown.</x:v>
      </x:c>
    </x:row>
    <x:row r="28" ht="42" customHeight="1">
      <x:c r="A28" s="3" t="str">
        <x:v>Swap reported YTD — USD</x:v>
      </x:c>
      <x:c r="B28" s="119" t="n">
        <x:f>B20</x:f>
        <x:v>5616.06</x:v>
      </x:c>
      <x:c r="C28" s="119" t="n">
        <x:f>C20</x:f>
        <x:v>5616.06</x:v>
      </x:c>
      <x:c r="D28" s="118" t="n">
        <x:f>'Source Data'!$D$9</x:f>
        <x:v>5616.06</x:v>
      </x:c>
      <x:c r="E28" s="119" t="n">
        <x:f>C28-D28</x:f>
        <x:v>0</x:v>
      </x:c>
      <x:c r="F28" s="3" t="str">
        <x:v>No YTD cash shown; supplied swap PV retained.</x:v>
      </x:c>
    </x:row>
    <x:row r="29" ht="42" customHeight="1">
      <x:c r="A29" s="81" t="str">
        <x:v>PACKAGE REPORTED YTD — USD</x:v>
      </x:c>
      <x:c r="B29" s="122" t="n">
        <x:f>SUM(B26:B28)</x:f>
        <x:v>231533.8400000012</x:v>
      </x:c>
      <x:c r="C29" s="122" t="n">
        <x:f>SUM(C26:C28)</x:f>
        <x:v>231533.8400000012</x:v>
      </x:c>
      <x:c r="D29" s="123" t="n">
        <x:f>SUM('Source Data'!$B$9:'Source Data'!$D$9)</x:f>
        <x:v>231533.8400000012</x:v>
      </x:c>
      <x:c r="E29" s="122" t="n">
        <x:f>C29-D29</x:f>
        <x:v>0</x:v>
      </x:c>
      <x:c r="F29" s="81" t="str">
        <x:v>Primary answer to the requested YTD report replication.</x:v>
      </x:c>
    </x:row>
    <x:row r="30" ht="42" customHeight="1">
      <x:c r="A30" s="3"/>
      <x:c r="B30" s="120"/>
      <x:c r="C30" s="120"/>
      <x:c r="D30" s="120"/>
      <x:c r="E30" s="120"/>
      <x:c r="F30" s="3"/>
    </x:row>
    <x:row r="31" ht="28" customHeight="1">
      <x:c r="A31" s="49" t="str">
        <x:v>OPTIONAL COF BRIDGE | KNOWN TRS CHARGES ONLY</x:v>
      </x:c>
      <x:c r="B31" s="121" t="str">
        <x:v>OPTIONAL COF BRIDGE | KNOWN TRS CHARGES ONLY</x:v>
      </x:c>
      <x:c r="C31" s="121" t="str">
        <x:v>OPTIONAL COF BRIDGE | KNOWN TRS CHARGES ONLY</x:v>
      </x:c>
      <x:c r="D31" s="121" t="str">
        <x:v>OPTIONAL COF BRIDGE | KNOWN TRS CHARGES ONLY</x:v>
      </x:c>
      <x:c r="E31" s="121" t="str">
        <x:v>OPTIONAL COF BRIDGE | KNOWN TRS CHARGES ONLY</x:v>
      </x:c>
      <x:c r="F31" s="49" t="str">
        <x:v>OPTIONAL COF BRIDGE | KNOWN TRS CHARGES ONLY</x:v>
      </x:c>
    </x:row>
    <x:row r="32" ht="42" customHeight="1">
      <x:c r="A32" s="3" t="str">
        <x:v>CNY TRS: YTD COF in USD</x:v>
      </x:c>
      <x:c r="B32" s="124" t="n">
        <x:f>'Source Data'!$B$54</x:f>
        <x:v>126364.434</x:v>
      </x:c>
      <x:c r="C32" s="125" t="n">
        <x:f>B32</x:f>
        <x:v>126364.434</x:v>
      </x:c>
      <x:c r="D32" s="124" t="n">
        <x:f>'Source Data'!$B$54</x:f>
        <x:v>126364.434</x:v>
      </x:c>
      <x:c r="E32" s="125" t="n">
        <x:f>C32-D32</x:f>
        <x:v>0</x:v>
      </x:c>
      <x:c r="F32" s="3" t="str">
        <x:v>COF is not already included in the headline YTD figure.</x:v>
      </x:c>
    </x:row>
    <x:row r="33" ht="42" customHeight="1">
      <x:c r="A33" s="3" t="str">
        <x:v>USD TRS: YTD COF in USD</x:v>
      </x:c>
      <x:c r="B33" s="124" t="n">
        <x:f>'Source Data'!$C$54</x:f>
        <x:v>-446770.4491</x:v>
      </x:c>
      <x:c r="C33" s="125" t="n">
        <x:f>B33</x:f>
        <x:v>-446770.4491</x:v>
      </x:c>
      <x:c r="D33" s="124" t="n">
        <x:f>'Source Data'!$C$54</x:f>
        <x:v>-446770.4491</x:v>
      </x:c>
      <x:c r="E33" s="125" t="n">
        <x:f>C33-D33</x:f>
        <x:v>0</x:v>
      </x:c>
      <x:c r="F33" s="3" t="str">
        <x:v>No swap COF amount was provided.</x:v>
      </x:c>
    </x:row>
    <x:row r="34" ht="42" customHeight="1">
      <x:c r="A34" s="3" t="str">
        <x:v>Known YTD COF total</x:v>
      </x:c>
      <x:c r="B34" s="125" t="n">
        <x:f>SUM(B32:B33)</x:f>
        <x:v>-320406.0151</x:v>
      </x:c>
      <x:c r="C34" s="125" t="n">
        <x:f>SUM(C32:C33)</x:f>
        <x:v>-320406.0151</x:v>
      </x:c>
      <x:c r="D34" s="124" t="n">
        <x:f>SUM('Source Data'!$B$54:'Source Data'!$C$54)</x:f>
        <x:v>-320406.0151</x:v>
      </x:c>
      <x:c r="E34" s="125" t="n">
        <x:f>C34-D34</x:f>
        <x:v>0</x:v>
      </x:c>
      <x:c r="F34" s="3" t="str">
        <x:v>Known two-row TRS COF only.</x:v>
      </x:c>
    </x:row>
    <x:row r="35" ht="42" customHeight="1">
      <x:c r="A35" s="81" t="str">
        <x:v>REPORTED YTD + KNOWN COF — USD</x:v>
      </x:c>
      <x:c r="B35" s="122" t="n">
        <x:f>B29+B34</x:f>
        <x:v>-88872.17509999883</x:v>
      </x:c>
      <x:c r="C35" s="122" t="n">
        <x:f>C29+C34</x:f>
        <x:v>-88872.17509999883</x:v>
      </x:c>
      <x:c r="D35" s="122" t="n">
        <x:f>D29+D34</x:f>
        <x:v>-88872.17509999883</x:v>
      </x:c>
      <x:c r="E35" s="122" t="n">
        <x:f>C35-D35</x:f>
        <x:v>0</x:v>
      </x:c>
      <x:c r="F35" s="81" t="str">
        <x:v>Separate performance measure, not closing fair value.</x:v>
      </x:c>
    </x:row>
    <x:row r="36" ht="23" customHeight="1">
      <x:c r="A36" s="2"/>
      <x:c r="B36" s="126"/>
      <x:c r="C36" s="126"/>
      <x:c r="D36" s="126"/>
      <x:c r="E36" s="126"/>
      <x:c r="F36" s="2"/>
    </x:row>
    <x:row r="37" ht="55" customHeight="1">
      <x:c r="A37" s="66" t="str">
        <x:v>Exact baseline reconciliation uses source observations for accrued funding and the YTD/BS bridge. Reconciliation is not evidence of an independent valuation. The other YTD screenshot differs by USD 0.03; I09 / CD is the chosen primary target.</x:v>
      </x:c>
      <x:c r="B37" s="127" t="str">
        <x:v>Exact baseline reconciliation uses source observations for accrued funding and the YTD/BS bridge. Reconciliation is not evidence of an independent valuation. The other YTD screenshot differs by USD 0.03; I09 / CD is the chosen primary target.</x:v>
      </x:c>
      <x:c r="C37" s="127" t="str">
        <x:v>Exact baseline reconciliation uses source observations for accrued funding and the YTD/BS bridge. Reconciliation is not evidence of an independent valuation. The other YTD screenshot differs by USD 0.03; I09 / CD is the chosen primary target.</x:v>
      </x:c>
      <x:c r="D37" s="127" t="str">
        <x:v>Exact baseline reconciliation uses source observations for accrued funding and the YTD/BS bridge. Reconciliation is not evidence of an independent valuation. The other YTD screenshot differs by USD 0.03; I09 / CD is the chosen primary target.</x:v>
      </x:c>
      <x:c r="E37" s="127" t="str">
        <x:v>Exact baseline reconciliation uses source observations for accrued funding and the YTD/BS bridge. Reconciliation is not evidence of an independent valuation. The other YTD screenshot differs by USD 0.03; I09 / CD is the chosen primary target.</x:v>
      </x:c>
      <x:c r="F37" s="66" t="str">
        <x:v>Exact baseline reconciliation uses source observations for accrued funding and the YTD/BS bridge. Reconciliation is not evidence of an independent valuation. The other YTD screenshot differs by USD 0.03; I09 / CD is the chosen primary target.</x:v>
      </x:c>
    </x:row>
    <x:row r="38" ht="23" customHeight="1">
      <x:c r="A38" s="2"/>
      <x:c r="B38" s="126"/>
      <x:c r="C38" s="126"/>
      <x:c r="D38" s="126"/>
      <x:c r="E38" s="126"/>
      <x:c r="F38" s="2"/>
    </x:row>
    <x:row r="39" ht="23" customHeight="1">
      <x:c r="A39" s="2"/>
      <x:c r="B39" s="126"/>
      <x:c r="C39" s="126"/>
      <x:c r="D39" s="126"/>
      <x:c r="E39" s="126"/>
      <x:c r="F39" s="2"/>
    </x:row>
    <x:row r="40" ht="23" customHeight="1">
      <x:c r="A40" s="2"/>
      <x:c r="B40" s="126"/>
      <x:c r="C40" s="126"/>
      <x:c r="D40" s="126"/>
      <x:c r="E40" s="126"/>
      <x:c r="F40" s="2"/>
    </x:row>
    <x:row r="41">
      <x:c r="A41" s="135"/>
      <x:c r="B41" s="136"/>
      <x:c r="C41" s="136"/>
      <x:c r="D41" s="136"/>
      <x:c r="E41" s="136"/>
      <x:c r="F41" s="135"/>
    </x:row>
    <x:row r="42">
      <x:c r="A42" s="135"/>
      <x:c r="B42" s="136"/>
      <x:c r="C42" s="136"/>
      <x:c r="D42" s="136"/>
      <x:c r="E42" s="136"/>
      <x:c r="F42" s="135"/>
    </x:row>
    <x:row r="43">
      <x:c r="A43" s="135"/>
      <x:c r="B43" s="136"/>
      <x:c r="C43" s="136"/>
      <x:c r="D43" s="136"/>
      <x:c r="E43" s="136"/>
      <x:c r="F43" s="135"/>
    </x:row>
    <x:row r="44">
      <x:c r="A44" s="135"/>
      <x:c r="B44" s="136"/>
      <x:c r="C44" s="136"/>
      <x:c r="D44" s="136"/>
      <x:c r="E44" s="136"/>
      <x:c r="F44" s="135"/>
    </x:row>
    <x:row r="45">
      <x:c r="A45" s="135"/>
      <x:c r="B45" s="136"/>
      <x:c r="C45" s="136"/>
      <x:c r="D45" s="136"/>
      <x:c r="E45" s="136"/>
      <x:c r="F45" s="135"/>
    </x:row>
    <x:row r="46">
      <x:c r="A46" s="135"/>
      <x:c r="B46" s="136"/>
      <x:c r="C46" s="136"/>
      <x:c r="D46" s="136"/>
      <x:c r="E46" s="136"/>
      <x:c r="F46" s="135"/>
    </x:row>
    <x:row r="47">
      <x:c r="A47" s="135"/>
      <x:c r="B47" s="136"/>
      <x:c r="C47" s="136"/>
      <x:c r="D47" s="136"/>
      <x:c r="E47" s="136"/>
      <x:c r="F47" s="135"/>
    </x:row>
    <x:row r="48">
      <x:c r="A48" s="135"/>
      <x:c r="B48" s="136"/>
      <x:c r="C48" s="136"/>
      <x:c r="D48" s="136"/>
      <x:c r="E48" s="136"/>
      <x:c r="F48" s="135"/>
    </x:row>
    <x:row r="49">
      <x:c r="A49" s="135"/>
      <x:c r="B49" s="136"/>
      <x:c r="C49" s="136"/>
      <x:c r="D49" s="136"/>
      <x:c r="E49" s="136"/>
      <x:c r="F49" s="135"/>
    </x:row>
  </x:sheetData>
  <x:mergeCells>
    <x:mergeCell ref="A1:F1"/>
    <x:mergeCell ref="A2:F2"/>
    <x:mergeCell ref="A17:F17"/>
    <x:mergeCell ref="A23:F23"/>
    <x:mergeCell ref="A31:F31"/>
    <x:mergeCell ref="A37:F3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5" hidden="0" customWidth="1"/>
    <x:col min="2" max="2" width="27" hidden="0" customWidth="1"/>
    <x:col min="3" max="3" width="20" hidden="0" customWidth="1"/>
    <x:col min="4" max="4" width="105" hidden="0" customWidth="1"/>
  </x:cols>
  <x:sheetData>
    <x:row r="1" ht="39" customHeight="1">
      <x:c r="A1" s="5" t="str">
        <x:v>CORRECT CALCULATION | CONSISTENT-CURRENCY PACKAGE</x:v>
      </x:c>
      <x:c r="B1" s="5" t="str">
        <x:v>CORRECT CALCULATION | CONSISTENT-CURRENCY PACKAGE</x:v>
      </x:c>
      <x:c r="C1" s="5" t="str">
        <x:v>CORRECT CALCULATION | CONSISTENT-CURRENCY PACKAGE</x:v>
      </x:c>
      <x:c r="D1" s="5" t="str">
        <x:v>CORRECT CALCULATION | CONSISTENT-CURRENCY PACKAGE</x:v>
      </x:c>
    </x:row>
    <x:row r="2" ht="43" customHeight="1">
      <x:c r="A2" s="6" t="str">
        <x:v>Recommended treatment: show closing value, YTD reporting and COF separately; include the supplied swap PV once. The available-data calculation retains the source funding accrual.</x:v>
      </x:c>
      <x:c r="B2" s="3" t="str">
        <x:v>Recommended treatment: show closing value, YTD reporting and COF separately; include the supplied swap PV once. The available-data calculation retains the source funding accrual.</x:v>
      </x:c>
      <x:c r="C2" s="3" t="str">
        <x:v>Recommended treatment: show closing value, YTD reporting and COF separately; include the supplied swap PV once. The available-data calculation retains the source funding accrual.</x:v>
      </x:c>
      <x:c r="D2" s="3" t="str">
        <x:v>Recommended treatment: show closing value, YTD reporting and COF separately; include the supplied swap PV once. The available-data calculation retains the source funding accrual.</x:v>
      </x:c>
    </x:row>
    <x:row r="3" ht="23" customHeight="1">
      <x:c r="A3" s="2"/>
      <x:c r="B3" s="2"/>
      <x:c r="C3" s="2"/>
      <x:c r="D3" s="2"/>
    </x:row>
    <x:row r="4" ht="34" customHeight="1">
      <x:c r="A4" s="9" t="str">
        <x:v>Calculation</x:v>
      </x:c>
      <x:c r="B4" s="9" t="str">
        <x:v>Value</x:v>
      </x:c>
      <x:c r="C4" s="9" t="str">
        <x:v>Units</x:v>
      </x:c>
      <x:c r="D4" s="9" t="str">
        <x:v>Reason / interpretation</x:v>
      </x:c>
    </x:row>
    <x:row r="5" ht="45" customHeight="1">
      <x:c r="A5" s="3" t="str">
        <x:v>Scenario clean bond price</x:v>
      </x:c>
      <x:c r="B5" s="114" t="n">
        <x:f>'Price Input'!$C$6</x:f>
        <x:v>108.5758</x:v>
      </x:c>
      <x:c r="C5" s="3" t="str">
        <x:v>Per 100</x:v>
      </x:c>
      <x:c r="D5" s="3" t="str">
        <x:v>Main user-controlled bond price.</x:v>
      </x:c>
    </x:row>
    <x:row r="6" ht="45" customHeight="1">
      <x:c r="A6" s="3" t="str">
        <x:v>Current reporting FX</x:v>
      </x:c>
      <x:c r="B6" s="114" t="n">
        <x:f>'Inputs'!$B$38</x:f>
        <x:v>6.7527</x:v>
      </x:c>
      <x:c r="C6" s="3" t="str">
        <x:v>CNY / USD</x:v>
      </x:c>
      <x:c r="D6" s="3" t="str">
        <x:v>Inferred from the source BS conversion.</x:v>
      </x:c>
    </x:row>
    <x:row r="7" ht="45" customHeight="1">
      <x:c r="A7" s="3" t="str">
        <x:v>Report bond AI per 100</x:v>
      </x:c>
      <x:c r="B7" s="116" t="n">
        <x:f>ROUND('Inputs'!$B$11*'Inputs'!$B$25*'Inputs'!$B$40/'Inputs'!$B$28,'Inputs'!$B$29)</x:f>
        <x:v>1.25764</x:v>
      </x:c>
      <x:c r="C7" s="3" t="str">
        <x:v>Per 100</x:v>
      </x:c>
      <x:c r="D7" s="3" t="str">
        <x:v>Preserves the report’s implied next-day bond-accrual convention.</x:v>
      </x:c>
    </x:row>
    <x:row r="8" ht="45" customHeight="1">
      <x:c r="A8" s="3"/>
      <x:c r="B8" s="120"/>
      <x:c r="C8" s="3"/>
      <x:c r="D8" s="3"/>
    </x:row>
    <x:row r="9" ht="27" customHeight="1">
      <x:c r="A9" s="49" t="str">
        <x:v>STEP 1 | VALUE EACH LEG IN THE SAME CURRENCY</x:v>
      </x:c>
      <x:c r="B9" s="121" t="str">
        <x:v>STEP 1 | VALUE EACH LEG IN THE SAME CURRENCY</x:v>
      </x:c>
      <x:c r="C9" s="49" t="str">
        <x:v>STEP 1 | VALUE EACH LEG IN THE SAME CURRENCY</x:v>
      </x:c>
      <x:c r="D9" s="49" t="str">
        <x:v>STEP 1 | VALUE EACH LEG IN THE SAME CURRENCY</x:v>
      </x:c>
    </x:row>
    <x:row r="10" ht="45" customHeight="1">
      <x:c r="A10" s="3" t="str">
        <x:v>Short clean bond market value</x:v>
      </x:c>
      <x:c r="B10" s="118" t="n">
        <x:f>'Inputs'!$B$7*B5/'Inputs'!$B$25</x:f>
        <x:v>-521163840</x:v>
      </x:c>
      <x:c r="C10" s="3" t="str">
        <x:v>CNY</x:v>
      </x:c>
      <x:c r="D10" s="3" t="str">
        <x:v>Short bond exposure loses value when the clean bond price rises.</x:v>
      </x:c>
    </x:row>
    <x:row r="11" ht="45" customHeight="1">
      <x:c r="A11" s="3" t="str">
        <x:v>Short bond accrued interest</x:v>
      </x:c>
      <x:c r="B11" s="118" t="n">
        <x:f>'Inputs'!$B$7*B7/'Inputs'!$B$25</x:f>
        <x:v>-6036672</x:v>
      </x:c>
      <x:c r="C11" s="3" t="str">
        <x:v>CNY</x:v>
      </x:c>
      <x:c r="D11" s="3" t="str">
        <x:v>Accrued interest is included once in the dirty bond value.</x:v>
      </x:c>
    </x:row>
    <x:row r="12" ht="45" customHeight="1">
      <x:c r="A12" s="3" t="str">
        <x:v>Short dirty bond value</x:v>
      </x:c>
      <x:c r="B12" s="119" t="n">
        <x:f>SUM(B10:B11)</x:f>
        <x:v>-527200512</x:v>
      </x:c>
      <x:c r="C12" s="3" t="str">
        <x:v>CNY</x:v>
      </x:c>
      <x:c r="D12" s="3" t="str">
        <x:v>Clean market value plus signed accrued interest.</x:v>
      </x:c>
    </x:row>
    <x:row r="13" ht="45" customHeight="1">
      <x:c r="A13" s="3" t="str">
        <x:v>Short dirty bond, translated to USD</x:v>
      </x:c>
      <x:c r="B13" s="118" t="n">
        <x:f>ROUND(B12/B6,'Inputs'!$B$31)</x:f>
        <x:v>-78072550.54</x:v>
      </x:c>
      <x:c r="C13" s="3" t="str">
        <x:v>USD</x:v>
      </x:c>
      <x:c r="D13" s="3" t="str">
        <x:v>Same-date FX conversion.</x:v>
      </x:c>
    </x:row>
    <x:row r="14" ht="45" customHeight="1">
      <x:c r="A14" s="3" t="str">
        <x:v>USD financing principal</x:v>
      </x:c>
      <x:c r="B14" s="118" t="n">
        <x:f>'Inputs'!$B$8</x:f>
        <x:v>77586204.08</x:v>
      </x:c>
      <x:c r="C14" s="3" t="str">
        <x:v>USD</x:v>
      </x:c>
      <x:c r="D14" s="3" t="str">
        <x:v>Financing principal offsets the financed bond value. Confirm legal principal exchange for full independent valuation.</x:v>
      </x:c>
    </x:row>
    <x:row r="15" ht="45" customHeight="1">
      <x:c r="A15" s="3" t="str">
        <x:v>USD accrued funding</x:v>
      </x:c>
      <x:c r="B15" s="118" t="n">
        <x:f>'Inputs'!$B$46</x:f>
        <x:v>504670.22</x:v>
      </x:c>
      <x:c r="C15" s="3" t="str">
        <x:v>USD / source anchor</x:v>
      </x:c>
      <x:c r="D15" s="3" t="str">
        <x:v>Reported accrued funding is retained because SOFR fixing history is missing.</x:v>
      </x:c>
    </x:row>
    <x:row r="16" ht="45" customHeight="1">
      <x:c r="A16" s="3" t="str">
        <x:v>Summit swap PV supplied</x:v>
      </x:c>
      <x:c r="B16" s="118" t="n">
        <x:f>'Inputs'!$B$17</x:f>
        <x:v>5616.06</x:v>
      </x:c>
      <x:c r="C16" s="3" t="str">
        <x:v>USD</x:v>
      </x:c>
      <x:c r="D16" s="3" t="str">
        <x:v>Use the supplied full PV. Do not add the swap’s USD 5,100.28 accrual a second time.</x:v>
      </x:c>
    </x:row>
    <x:row r="17" ht="45" customHeight="1">
      <x:c r="A17" s="81" t="str">
        <x:v>PACKAGE CLOSING MTM</x:v>
      </x:c>
      <x:c r="B17" s="122" t="n">
        <x:f>SUM(B13:B16)</x:f>
        <x:v>23939.81999999163</x:v>
      </x:c>
      <x:c r="C17" s="81" t="str">
        <x:v>USD</x:v>
      </x:c>
      <x:c r="D17" s="81" t="str">
        <x:v>Best available consistent-FX reconstruction of the reported closing balances, not a fully independent discounted fair value.</x:v>
      </x:c>
    </x:row>
    <x:row r="18" ht="27" customHeight="1">
      <x:c r="A18" s="49" t="str">
        <x:v>STEP 2 | KEEP THE YTD DEFINITION VISIBLE</x:v>
      </x:c>
      <x:c r="B18" s="121" t="str">
        <x:v>STEP 2 | KEEP THE YTD DEFINITION VISIBLE</x:v>
      </x:c>
      <x:c r="C18" s="49" t="str">
        <x:v>STEP 2 | KEEP THE YTD DEFINITION VISIBLE</x:v>
      </x:c>
      <x:c r="D18" s="49" t="str">
        <x:v>STEP 2 | KEEP THE YTD DEFINITION VISIBLE</x:v>
      </x:c>
    </x:row>
    <x:row r="19" ht="45" customHeight="1">
      <x:c r="A19" s="3" t="str">
        <x:v>Closing-value-based YTD P&amp;L</x:v>
      </x:c>
      <x:c r="B19" s="118" t="n">
        <x:f>B17-'Inputs'!$B$57+'Source Data'!$B$10/B6+SUM('Source Data'!$C$10:'Source Data'!$D$10)</x:f>
        <x:v>23939.81999999163</x:v>
      </x:c>
      <x:c r="C19" s="3" t="str">
        <x:v>USD / conditional</x:v>
      </x:c>
      <x:c r="D19" s="3" t="str">
        <x:v>Closing PV less zero prior-year PV plus zero cash for these new tickets. CNY cash is converted into USD. Requires no predecessor balances or off-ticket adjustments.</x:v>
      </x:c>
    </x:row>
    <x:row r="20" ht="45" customHeight="1">
      <x:c r="A20" s="3" t="str">
        <x:v>Observed report YTD / closing bridge</x:v>
      </x:c>
      <x:c r="B20" s="118" t="n">
        <x:f>'Inputs'!$B$49</x:f>
        <x:v>207594.02000001073</x:v>
      </x:c>
      <x:c r="C20" s="3" t="str">
        <x:v>USD / unreconciled cause</x:v>
      </x:c>
      <x:c r="D20" s="3" t="str">
        <x:v>A real source discrepancy in metric definitions. It may involve historical translation or other ledger treatment; the screenshots do not prove the cause.</x:v>
      </x:c>
    </x:row>
    <x:row r="21" ht="45" customHeight="1">
      <x:c r="A21" s="81" t="str">
        <x:v>Reported-definition YTD, reconciled</x:v>
      </x:c>
      <x:c r="B21" s="122" t="n">
        <x:f>SUM(B19:B20)</x:f>
        <x:v>231533.84000000235</x:v>
      </x:c>
      <x:c r="C21" s="81" t="str">
        <x:v>USD</x:v>
      </x:c>
      <x:c r="D21" s="81" t="str">
        <x:v>This equals the requested source YTD after applying the explicitly visible historical bridge.</x:v>
      </x:c>
    </x:row>
    <x:row r="22" ht="45" customHeight="1">
      <x:c r="A22" s="3"/>
      <x:c r="B22" s="120"/>
      <x:c r="C22" s="3"/>
      <x:c r="D22" s="3"/>
    </x:row>
    <x:row r="23" ht="45" customHeight="1">
      <x:c r="A23" s="3" t="str">
        <x:v>Known TRS YTD COF</x:v>
      </x:c>
      <x:c r="B23" s="118" t="n">
        <x:f>'Inputs'!$B$50</x:f>
        <x:v>-320406.0151</x:v>
      </x:c>
      <x:c r="C23" s="3" t="str">
        <x:v>USD</x:v>
      </x:c>
      <x:c r="D23" s="3" t="str">
        <x:v>Two TRS rows only. No swap COF was supplied.</x:v>
      </x:c>
    </x:row>
    <x:row r="24" ht="45" customHeight="1">
      <x:c r="A24" s="3" t="str">
        <x:v>Closing-value YTD plus known COF</x:v>
      </x:c>
      <x:c r="B24" s="119" t="n">
        <x:f>B19+B23</x:f>
        <x:v>-296466.1951000084</x:v>
      </x:c>
      <x:c r="C24" s="3" t="str">
        <x:v>USD / conditional</x:v>
      </x:c>
      <x:c r="D24" s="3" t="str">
        <x:v>Separate from reported-definition YTD plus COF. Do not mix the two bases.</x:v>
      </x:c>
    </x:row>
    <x:row r="25" ht="45" customHeight="1">
      <x:c r="A25" s="3"/>
      <x:c r="B25" s="120"/>
      <x:c r="C25" s="3"/>
      <x:c r="D25" s="3"/>
    </x:row>
    <x:row r="26" ht="64" customHeight="1">
      <x:c r="A26" s="66" t="str">
        <x:v>My recommendation is to use the same-date closing-value calculation for a “current MTM” question, and the source YTD bridge for a “reported YTD” question. The supplied data do not justify declaring the reported YTD wrong or the reconstructed closing balance a fully independent fair value.</x:v>
      </x:c>
      <x:c r="B26" s="127" t="str">
        <x:v>My recommendation is to use the same-date closing-value calculation for a “current MTM” question, and the source YTD bridge for a “reported YTD” question. The supplied data do not justify declaring the reported YTD wrong or the reconstructed closing balance a fully independent fair value.</x:v>
      </x:c>
      <x:c r="C26" s="66" t="str">
        <x:v>My recommendation is to use the same-date closing-value calculation for a “current MTM” question, and the source YTD bridge for a “reported YTD” question. The supplied data do not justify declaring the reported YTD wrong or the reconstructed closing balance a fully independent fair value.</x:v>
      </x:c>
      <x:c r="D26" s="66" t="str">
        <x:v>My recommendation is to use the same-date closing-value calculation for a “current MTM” question, and the source YTD bridge for a “reported YTD” question. The supplied data do not justify declaring the reported YTD wrong or the reconstructed closing balance a fully independent fair value.</x:v>
      </x:c>
    </x:row>
    <x:row r="27" ht="45" customHeight="1">
      <x:c r="A27" s="3"/>
      <x:c r="B27" s="120"/>
      <x:c r="C27" s="3"/>
      <x:c r="D27" s="3"/>
    </x:row>
    <x:row r="28" ht="27" customHeight="1">
      <x:c r="A28" s="49" t="str">
        <x:v>DIAGNOSTIC A | STRICT 4-AUG ACCRUAL, IF THE CONTRACT REQUIRES IT</x:v>
      </x:c>
      <x:c r="B28" s="121" t="str">
        <x:v>DIAGNOSTIC A | STRICT 4-AUG ACCRUAL, IF THE CONTRACT REQUIRES IT</x:v>
      </x:c>
      <x:c r="C28" s="49" t="str">
        <x:v>DIAGNOSTIC A | STRICT 4-AUG ACCRUAL, IF THE CONTRACT REQUIRES IT</x:v>
      </x:c>
      <x:c r="D28" s="49" t="str">
        <x:v>DIAGNOSTIC A | STRICT 4-AUG ACCRUAL, IF THE CONTRACT REQUIRES IT</x:v>
      </x:c>
    </x:row>
    <x:row r="29" ht="45" customHeight="1">
      <x:c r="A29" s="3" t="str">
        <x:v>Bond AI at the valuation date, per 100</x:v>
      </x:c>
      <x:c r="B29" s="116" t="n">
        <x:f>ROUND('Inputs'!$B$11*'Inputs'!$B$25*'Inputs'!$B$44/'Inputs'!$B$28,'Inputs'!$B$29)</x:f>
        <x:v>1.24937</x:v>
      </x:c>
      <x:c r="C29" s="3" t="str">
        <x:v>Per 100</x:v>
      </x:c>
      <x:c r="D29" s="3" t="str">
        <x:v>151 days. This is a sensitivity to accrual cut-off, not an asserted correction to the contract.</x:v>
      </x:c>
    </x:row>
    <x:row r="30" ht="45" customHeight="1">
      <x:c r="A30" s="3" t="str">
        <x:v>Strict-date short dirty value — CNY</x:v>
      </x:c>
      <x:c r="B30" s="118" t="n">
        <x:f>'Inputs'!$B$7*(B5+B29)/'Inputs'!$B$25</x:f>
        <x:v>-527160816</x:v>
      </x:c>
      <x:c r="C30" s="3" t="str">
        <x:v>CNY</x:v>
      </x:c>
      <x:c r="D30" s="3" t="str">
        <x:v>Keep the same clean bond quote; change only the AI cut-off.</x:v>
      </x:c>
    </x:row>
    <x:row r="31" ht="45" customHeight="1">
      <x:c r="A31" s="3" t="str">
        <x:v>Strict-date short dirty value — USD</x:v>
      </x:c>
      <x:c r="B31" s="118" t="n">
        <x:f>ROUND(B30/B6,'Inputs'!$B$31)</x:f>
        <x:v>-78066672</x:v>
      </x:c>
      <x:c r="C31" s="3" t="str">
        <x:v>USD</x:v>
      </x:c>
      <x:c r="D31" s="3" t="str">
        <x:v>Other leg values remain fixed, so this is an isolated AI diagnostic.</x:v>
      </x:c>
    </x:row>
    <x:row r="32" ht="45" customHeight="1">
      <x:c r="A32" s="3" t="str">
        <x:v>Other legs, unchanged</x:v>
      </x:c>
      <x:c r="B32" s="119" t="n">
        <x:f>SUM(B14:B16)</x:f>
        <x:v>78096490.36</x:v>
      </x:c>
      <x:c r="C32" s="3" t="str">
        <x:v>USD</x:v>
      </x:c>
      <x:c r="D32" s="3" t="str">
        <x:v>Financing principal, observed funding and provided swap PV.</x:v>
      </x:c>
    </x:row>
    <x:row r="33" ht="45" customHeight="1">
      <x:c r="A33" s="81" t="str">
        <x:v>Package MTM with strict-date bond AI</x:v>
      </x:c>
      <x:c r="B33" s="122" t="n">
        <x:f>SUM(B31:B32)</x:f>
        <x:v>29818.359999999404</x:v>
      </x:c>
      <x:c r="C33" s="81" t="str">
        <x:v>USD / diagnostic</x:v>
      </x:c>
      <x:c r="D33" s="81" t="str">
        <x:v>Use only if confirmed settlement / valuation rules require this accrual date.</x:v>
      </x:c>
    </x:row>
    <x:row r="34" ht="45" customHeight="1">
      <x:c r="A34" s="3"/>
      <x:c r="B34" s="120"/>
      <x:c r="C34" s="3"/>
      <x:c r="D34" s="3"/>
    </x:row>
    <x:row r="35" ht="45" customHeight="1">
      <x:c r="A35" s="3" t="str">
        <x:v>Difference from report-AI convention</x:v>
      </x:c>
      <x:c r="B35" s="119" t="n">
        <x:f>B33-B17</x:f>
        <x:v>5878.540000007775</x:v>
      </x:c>
      <x:c r="C35" s="3" t="str">
        <x:v>USD</x:v>
      </x:c>
      <x:c r="D35" s="3" t="str">
        <x:v>The difference isolates one rounded bond-accrual day.</x:v>
      </x:c>
    </x:row>
    <x:row r="36" ht="45" customHeight="1">
      <x:c r="A36" s="3"/>
      <x:c r="B36" s="120"/>
      <x:c r="C36" s="3"/>
      <x:c r="D36" s="3"/>
    </x:row>
    <x:row r="37" ht="45" customHeight="1">
      <x:c r="A37" s="3"/>
      <x:c r="B37" s="120"/>
      <x:c r="C37" s="3"/>
      <x:c r="D37" s="3"/>
    </x:row>
    <x:row r="38" ht="27" customHeight="1">
      <x:c r="A38" s="49" t="str">
        <x:v>DIAGNOSTIC B | FLOATING-LEG CANCELLATION MUST BE VERIFIED</x:v>
      </x:c>
      <x:c r="B38" s="121" t="str">
        <x:v>DIAGNOSTIC B | FLOATING-LEG CANCELLATION MUST BE VERIFIED</x:v>
      </x:c>
      <x:c r="C38" s="49" t="str">
        <x:v>DIAGNOSTIC B | FLOATING-LEG CANCELLATION MUST BE VERIFIED</x:v>
      </x:c>
      <x:c r="D38" s="49" t="str">
        <x:v>DIAGNOSTIC B | FLOATING-LEG CANCELLATION MUST BE VERIFIED</x:v>
      </x:c>
    </x:row>
    <x:row r="39" ht="45" customHeight="1">
      <x:c r="A39" s="3" t="str">
        <x:v>Elapsed fixed-rate accrual days</x:v>
      </x:c>
      <x:c r="B39" s="129" t="n">
        <x:f>'Inputs'!$B$5-'Inputs'!$B$13</x:f>
        <x:v>54</x:v>
      </x:c>
      <x:c r="C39" s="3" t="str">
        <x:v>Days</x:v>
      </x:c>
      <x:c r="D39" s="3" t="str">
        <x:v>11 June to 4 August, ACT/360.</x:v>
      </x:c>
    </x:row>
    <x:row r="40" ht="45" customHeight="1">
      <x:c r="A40" s="3" t="str">
        <x:v>Fixed 4.3% accrual over elapsed days</x:v>
      </x:c>
      <x:c r="B40" s="118" t="n">
        <x:f>'Inputs'!$B$8*'Inputs'!$B$10*B39/'Inputs'!$B$27</x:f>
        <x:v>500431.01631599996</x:v>
      </x:c>
      <x:c r="C40" s="3" t="str">
        <x:v>USD</x:v>
      </x:c>
      <x:c r="D40" s="3" t="str">
        <x:v>Term-driven fixed accrual diagnostic, not a replacement for the supplied swap PV.</x:v>
      </x:c>
    </x:row>
    <x:row r="41" ht="45" customHeight="1">
      <x:c r="A41" s="3" t="str">
        <x:v>Observed TRS funding AI + swap AI</x:v>
      </x:c>
      <x:c r="B41" s="118" t="n">
        <x:f>B15+'Inputs'!$B$18</x:f>
        <x:v>509770.5</x:v>
      </x:c>
      <x:c r="C41" s="3" t="str">
        <x:v>USD</x:v>
      </x:c>
      <x:c r="D41" s="3" t="str">
        <x:v>The two floating legs should only be netted if dates, fixings, compounding, spread and payment conventions match.</x:v>
      </x:c>
    </x:row>
    <x:row r="42" ht="45" customHeight="1">
      <x:c r="A42" s="3" t="str">
        <x:v>Difference from simple fixed accrual</x:v>
      </x:c>
      <x:c r="B42" s="119" t="n">
        <x:f>B41-B40</x:f>
        <x:v>9339.483684000035</x:v>
      </x:c>
      <x:c r="C42" s="3" t="str">
        <x:v>USD</x:v>
      </x:c>
      <x:c r="D42" s="3" t="str">
        <x:v>Not zero. A naive 4.3% × elapsed days shortcut does not reproduce these observations.</x:v>
      </x:c>
    </x:row>
    <x:row r="43" ht="45" customHeight="1">
      <x:c r="A43" s="3" t="str">
        <x:v>One additional fixed-rate accrual day</x:v>
      </x:c>
      <x:c r="B43" s="118" t="n">
        <x:f>'Inputs'!$B$8*'Inputs'!$B$10/'Inputs'!$B$27</x:f>
        <x:v>9267.241042888887</x:v>
      </x:c>
      <x:c r="C43" s="3" t="str">
        <x:v>USD</x:v>
      </x:c>
      <x:c r="D43" s="3" t="str">
        <x:v>A one-day cut-off shift explains most, but not all, of the difference.</x:v>
      </x:c>
    </x:row>
    <x:row r="44" ht="45" customHeight="1">
      <x:c r="A44" s="3" t="str">
        <x:v>Residual after one extra fixed day</x:v>
      </x:c>
      <x:c r="B44" s="119" t="n">
        <x:f>B42-B43</x:f>
        <x:v>72.24264111114826</x:v>
      </x:c>
      <x:c r="C44" s="3" t="str">
        <x:v>USD</x:v>
      </x:c>
      <x:c r="D44" s="3" t="str">
        <x:v>Do not force this residual to zero without schedule / fixing evidence.</x:v>
      </x:c>
    </x:row>
    <x:row r="45" ht="45" customHeight="1">
      <x:c r="A45" s="3"/>
      <x:c r="B45" s="120"/>
      <x:c r="C45" s="3"/>
      <x:c r="D45" s="3"/>
    </x:row>
    <x:row r="46" ht="27" customHeight="1">
      <x:c r="A46" s="49" t="str">
        <x:v>OPTIONAL INDEPENDENT HISTORICAL FUNDING PATH</x:v>
      </x:c>
      <x:c r="B46" s="121" t="str">
        <x:v>OPTIONAL INDEPENDENT HISTORICAL FUNDING PATH</x:v>
      </x:c>
      <x:c r="C46" s="49" t="str">
        <x:v>OPTIONAL INDEPENDENT HISTORICAL FUNDING PATH</x:v>
      </x:c>
      <x:c r="D46" s="49" t="str">
        <x:v>OPTIONAL INDEPENDENT HISTORICAL FUNDING PATH</x:v>
      </x:c>
    </x:row>
    <x:row r="47" ht="45" customHeight="1">
      <x:c r="A47" s="3" t="str">
        <x:v>Funding accrual from supplied daily fixings</x:v>
      </x:c>
      <x:c r="B47" s="118" t="str">
        <x:f>IF(ISNUMBER('Funding Detail'!B7),'Funding Detail'!B7,"")</x:f>
      </x:c>
      <x:c r="C47" s="3" t="str">
        <x:v>USD / pending</x:v>
      </x:c>
      <x:c r="D47" s="3" t="str">
        <x:v>Only populates when all required daily SOFR rates and a confirmed convention are entered.</x:v>
      </x:c>
    </x:row>
    <x:row r="48" ht="45" customHeight="1">
      <x:c r="A48" s="3" t="str">
        <x:v>Package with fixing-driven accrued funding</x:v>
      </x:c>
      <x:c r="B48" s="119" t="str">
        <x:f>IF(ISNUMBER(B47),SUM(B13:B14)+B47+B16,"")</x:f>
      </x:c>
      <x:c r="C48" s="3" t="str">
        <x:v>USD / pending</x:v>
      </x:c>
      <x:c r="D48" s="3" t="str">
        <x:v>This removes the funding-accrual report anchor; full forward fair-value inputs are still required.</x:v>
      </x:c>
    </x:row>
    <x:row r="49" ht="45" customHeight="1">
      <x:c r="A49" s="3" t="str">
        <x:v>Fixing-driven less report-anchored package</x:v>
      </x:c>
      <x:c r="B49" s="119" t="str">
        <x:f>IF(ISNUMBER(B48),B48-B17,"")</x:f>
      </x:c>
      <x:c r="C49" s="3" t="str">
        <x:v>USD / pending</x:v>
      </x:c>
      <x:c r="D49" s="3" t="str">
        <x:v>Blank means missing inputs, not zero value.</x:v>
      </x:c>
    </x:row>
    <x:row r="50" ht="23" customHeight="1">
      <x:c r="A50" s="2"/>
      <x:c r="B50" s="2"/>
      <x:c r="C50" s="2"/>
      <x:c r="D50" s="2"/>
    </x:row>
    <x:row r="51" ht="70" customHeight="1">
      <x:c r="A51" s="66" t="str">
        <x:v>FULL INDEPENDENT FAIR VALUE: not established. Still required: TRS confirmation and settlement/reset rules; reference/initial dirty price and contractual FX terms; historical fixings; remaining payment schedule, forward funding and discount curves; and historical YTD/ledger data. No missing market value has been fabricated.</x:v>
      </x:c>
      <x:c r="B51" s="66" t="str">
        <x:v>FULL INDEPENDENT FAIR VALUE: not established. Still required: TRS confirmation and settlement/reset rules; reference/initial dirty price and contractual FX terms; historical fixings; remaining payment schedule, forward funding and discount curves; and historical YTD/ledger data. No missing market value has been fabricated.</x:v>
      </x:c>
      <x:c r="C51" s="66" t="str">
        <x:v>FULL INDEPENDENT FAIR VALUE: not established. Still required: TRS confirmation and settlement/reset rules; reference/initial dirty price and contractual FX terms; historical fixings; remaining payment schedule, forward funding and discount curves; and historical YTD/ledger data. No missing market value has been fabricated.</x:v>
      </x:c>
      <x:c r="D51" s="66" t="str">
        <x:v>FULL INDEPENDENT FAIR VALUE: not established. Still required: TRS confirmation and settlement/reset rules; reference/initial dirty price and contractual FX terms; historical fixings; remaining payment schedule, forward funding and discount curves; and historical YTD/ledger data. No missing market value has been fabricated.</x:v>
      </x:c>
    </x:row>
    <x:row r="52" ht="23" customHeight="1">
      <x:c r="A52" s="2"/>
      <x:c r="B52" s="2"/>
      <x:c r="C52" s="2"/>
      <x:c r="D52" s="2"/>
    </x:row>
    <x:row r="53" ht="23" customHeight="1">
      <x:c r="A53" s="2"/>
      <x:c r="B53" s="2"/>
      <x:c r="C53" s="2"/>
      <x:c r="D53" s="2"/>
    </x:row>
    <x:row r="54" ht="23" customHeight="1">
      <x:c r="A54" s="2"/>
      <x:c r="B54" s="2"/>
      <x:c r="C54" s="2"/>
      <x:c r="D54" s="2"/>
    </x:row>
    <x:row r="55" ht="23" customHeight="1">
      <x:c r="A55" s="2"/>
      <x:c r="B55" s="2"/>
      <x:c r="C55" s="2"/>
      <x:c r="D55" s="2"/>
    </x:row>
    <x:row r="56" ht="23" customHeight="1">
      <x:c r="A56" s="2"/>
      <x:c r="B56" s="2"/>
      <x:c r="C56" s="2"/>
      <x:c r="D56" s="2"/>
    </x:row>
    <x:row r="57" ht="23" customHeight="1">
      <x:c r="A57" s="2"/>
      <x:c r="B57" s="2"/>
      <x:c r="C57" s="2"/>
      <x:c r="D57" s="2"/>
    </x:row>
  </x:sheetData>
  <x:mergeCells>
    <x:mergeCell ref="A1:D1"/>
    <x:mergeCell ref="A2:D2"/>
    <x:mergeCell ref="A9:D9"/>
    <x:mergeCell ref="A18:D18"/>
    <x:mergeCell ref="A26:D26"/>
    <x:mergeCell ref="A28:D28"/>
    <x:mergeCell ref="A38:D38"/>
    <x:mergeCell ref="A46:D46"/>
    <x:mergeCell ref="A51:D51"/>
  </x:mergeCells>
  <x:pageMargins left="0.7" right="0.7" top="0.75" bottom="0.75" header="0.3" footer="0.3"/>
  <x:legacyDrawing xmlns:r="http://schemas.openxmlformats.org/officeDocument/2006/relationships" r:id="R687a2a7426fb4b15"/>
</x:worksheet>
</file>

<file path=xl/worksheets/sheet4.xml><?xml version="1.0" encoding="utf-8"?>
<x:worksheet xmlns:x="http://schemas.openxmlformats.org/spreadsheetml/2006/main">
  <x:sheetViews>
    <x:sheetView showGridLines="0" workbookViewId="0"/>
  </x:sheetViews>
  <x:sheetFormatPr defaultRowHeight="15"/>
  <x:cols>
    <x:col min="1" max="1" width="48" hidden="0" customWidth="1"/>
    <x:col min="2" max="2" width="25" hidden="0" customWidth="1"/>
    <x:col min="3" max="3" width="21" hidden="0" customWidth="1"/>
    <x:col min="4" max="4" width="96" hidden="0" customWidth="1"/>
  </x:cols>
  <x:sheetData>
    <x:row r="1" ht="39" customHeight="1">
      <x:c r="A1" s="5" t="str">
        <x:v>INPUTS &amp; CONVENTIONS</x:v>
      </x:c>
      <x:c r="B1" s="5" t="str">
        <x:v>INPUTS &amp; CONVENTIONS</x:v>
      </x:c>
      <x:c r="C1" s="5" t="str">
        <x:v>INPUTS &amp; CONVENTIONS</x:v>
      </x:c>
      <x:c r="D1" s="5" t="str">
        <x:v>INPUTS &amp; CONVENTIONS</x:v>
      </x:c>
    </x:row>
    <x:row r="2" ht="43" customHeight="1">
      <x:c r="A2" s="6" t="str">
        <x:v>Blue / yellow = editable term or control. Source-linked observations and formula-derived inferences are separately identified.</x:v>
      </x:c>
      <x:c r="B2" s="3" t="str">
        <x:v>Blue / yellow = editable term or control. Source-linked observations and formula-derived inferences are separately identified.</x:v>
      </x:c>
      <x:c r="C2" s="3" t="str">
        <x:v>Blue / yellow = editable term or control. Source-linked observations and formula-derived inferences are separately identified.</x:v>
      </x:c>
      <x:c r="D2" s="3" t="str">
        <x:v>Blue / yellow = editable term or control. Source-linked observations and formula-derived inferences are separately identified.</x:v>
      </x:c>
    </x:row>
    <x:row r="3" ht="23" customHeight="1">
      <x:c r="A3" s="2"/>
      <x:c r="B3" s="2"/>
      <x:c r="C3" s="2"/>
      <x:c r="D3" s="2"/>
    </x:row>
    <x:row r="4" ht="34" customHeight="1">
      <x:c r="A4" s="9" t="str">
        <x:v>Input / derived quantity</x:v>
      </x:c>
      <x:c r="B4" s="9" t="str">
        <x:v>Value</x:v>
      </x:c>
      <x:c r="C4" s="9" t="str">
        <x:v>Unit / classification</x:v>
      </x:c>
      <x:c r="D4" s="9" t="str">
        <x:v>Source / explanation</x:v>
      </x:c>
    </x:row>
    <x:row r="5" ht="44" customHeight="1">
      <x:c r="A5" s="3" t="str">
        <x:v>Valuation date</x:v>
      </x:c>
      <x:c r="B5" s="50" t="n">
        <x:v>46238</x:v>
      </x:c>
      <x:c r="C5" s="3" t="str">
        <x:v>Date</x:v>
      </x:c>
      <x:c r="D5" s="3" t="str">
        <x:v>I05 / A; I17 / BT. Model is for this fixed valuation date.</x:v>
      </x:c>
    </x:row>
    <x:row r="6" ht="44" customHeight="1">
      <x:c r="A6" s="3" t="str">
        <x:v>Default EOD clean bond price</x:v>
      </x:c>
      <x:c r="B6" s="51" t="n">
        <x:v>108.5758</x:v>
      </x:c>
      <x:c r="C6" s="3" t="str">
        <x:v>Per 100 nominal</x:v>
      </x:c>
      <x:c r="D6" s="3" t="str">
        <x:v>User instruction and I18 / B. Price Input!C6 is the scenario control.</x:v>
      </x:c>
    </x:row>
    <x:row r="7" ht="44" customHeight="1">
      <x:c r="A7" s="3" t="str">
        <x:v>Signed reference bond nominal</x:v>
      </x:c>
      <x:c r="B7" s="52" t="n">
        <x:v>-480000000</x:v>
      </x:c>
      <x:c r="C7" s="3" t="str">
        <x:v>CNY</x:v>
      </x:c>
      <x:c r="D7" s="3" t="str">
        <x:v>I03 / AB and I05 / T. SELL / pay total return.</x:v>
      </x:c>
    </x:row>
    <x:row r="8" ht="44" customHeight="1">
      <x:c r="A8" s="3" t="str">
        <x:v>USD financing notional</x:v>
      </x:c>
      <x:c r="B8" s="52" t="n">
        <x:v>77586204.08</x:v>
      </x:c>
      <x:c r="C8" s="3" t="str">
        <x:v>USD</x:v>
      </x:c>
      <x:c r="D8" s="3" t="str">
        <x:v>I03 / AH and I19, both swap legs.</x:v>
      </x:c>
    </x:row>
    <x:row r="9" ht="44" customHeight="1">
      <x:c r="A9" s="3" t="str">
        <x:v>TRS receive / swap pay spread</x:v>
      </x:c>
      <x:c r="B9" s="53" t="n">
        <x:v>62.3</x:v>
      </x:c>
      <x:c r="C9" s="3" t="str">
        <x:v>Basis points</x:v>
      </x:c>
      <x:c r="D9" s="3" t="str">
        <x:v>I01, I02 / S and I19: SOFR + 62.30 bp.</x:v>
      </x:c>
    </x:row>
    <x:row r="10" ht="44" customHeight="1">
      <x:c r="A10" s="3" t="str">
        <x:v>Swap fixed receive rate</x:v>
      </x:c>
      <x:c r="B10" s="54" t="n">
        <x:v>0.043</x:v>
      </x:c>
      <x:c r="C10" s="3" t="str">
        <x:v>Annual rate</x:v>
      </x:c>
      <x:c r="D10" s="3" t="str">
        <x:v>I19: receive FIXED 4.3%; A360.</x:v>
      </x:c>
    </x:row>
    <x:row r="11" ht="44" customHeight="1">
      <x:c r="A11" s="3" t="str">
        <x:v>Reference bond coupon</x:v>
      </x:c>
      <x:c r="B11" s="54" t="n">
        <x:v>0.0302</x:v>
      </x:c>
      <x:c r="C11" s="3" t="str">
        <x:v>Annual rate</x:v>
      </x:c>
      <x:c r="D11" s="3" t="str">
        <x:v>I01 product description: SDBC 3.02, 2305 / 10Y.</x:v>
      </x:c>
    </x:row>
    <x:row r="12" ht="44" customHeight="1">
      <x:c r="A12" s="3" t="str">
        <x:v>Trade date</x:v>
      </x:c>
      <x:c r="B12" s="50" t="n">
        <x:v>46182</x:v>
      </x:c>
      <x:c r="C12" s="3" t="str">
        <x:v>Date</x:v>
      </x:c>
      <x:c r="D12" s="3" t="str">
        <x:v>I02 in MM/DD/YYYY, confirmed by I06 in DD/MM/YYYY.</x:v>
      </x:c>
    </x:row>
    <x:row r="13" ht="44" customHeight="1">
      <x:c r="A13" s="3" t="str">
        <x:v>Trade start / settlement date</x:v>
      </x:c>
      <x:c r="B13" s="50" t="n">
        <x:v>46184</x:v>
      </x:c>
      <x:c r="C13" s="3" t="str">
        <x:v>Date</x:v>
      </x:c>
      <x:c r="D13" s="3" t="str">
        <x:v>I02 and I19: 11 June 2026.</x:v>
      </x:c>
    </x:row>
    <x:row r="14" ht="44" customHeight="1">
      <x:c r="A14" s="3" t="str">
        <x:v>TRS / swap-ticket end date</x:v>
      </x:c>
      <x:c r="B14" s="50" t="n">
        <x:v>46283</x:v>
      </x:c>
      <x:c r="C14" s="3" t="str">
        <x:v>Date</x:v>
      </x:c>
      <x:c r="D14" s="3" t="str">
        <x:v>I02 and I19. The report swap row instead displays 22 September; see row 16.</x:v>
      </x:c>
    </x:row>
    <x:row r="15" ht="44" customHeight="1">
      <x:c r="A15" s="3" t="str">
        <x:v>Bond maturity, interpreted MM/DD</x:v>
      </x:c>
      <x:c r="B15" s="50" t="n">
        <x:v>48644</x:v>
      </x:c>
      <x:c r="C15" s="3" t="str">
        <x:v>Date / interpretation</x:v>
      </x:c>
      <x:c r="D15" s="3" t="str">
        <x:v>I01: 03/06/2033, read as 6 March. Coupon-date inference is corroborated by the reported accrued interest, not independently confirmed by a term sheet.</x:v>
      </x:c>
    </x:row>
    <x:row r="16" ht="44" customHeight="1">
      <x:c r="A16" s="3" t="str">
        <x:v>Swap maturity shown in P&amp;L report</x:v>
      </x:c>
      <x:c r="B16" s="50" t="n">
        <x:v>46287</x:v>
      </x:c>
      <x:c r="C16" s="3" t="str">
        <x:v>Date / conflict</x:v>
      </x:c>
      <x:c r="D16" s="3" t="str">
        <x:v>I06 / AF, swap row. Preserve this discrepancy; supplied PV is used without repricing.</x:v>
      </x:c>
    </x:row>
    <x:row r="17" ht="44" customHeight="1">
      <x:c r="A17" s="3" t="str">
        <x:v>Swap closing PV supplied</x:v>
      </x:c>
      <x:c r="B17" s="55" t="n">
        <x:f>'Source Data'!$D$6</x:f>
        <x:v>5616.06</x:v>
      </x:c>
      <x:c r="C17" s="3" t="str">
        <x:v>USD / supplied PV</x:v>
      </x:c>
      <x:c r="D17" s="3" t="str">
        <x:v>I07 and I09. Use this provided value; no swap repricing.</x:v>
      </x:c>
    </x:row>
    <x:row r="18" ht="44" customHeight="1">
      <x:c r="A18" s="3" t="str">
        <x:v>Swap accrual shown, diagnostic only</x:v>
      </x:c>
      <x:c r="B18" s="55" t="n">
        <x:f>'Source Data'!$D$5</x:f>
        <x:v>5100.28</x:v>
      </x:c>
      <x:c r="C18" s="3" t="str">
        <x:v>USD / observation</x:v>
      </x:c>
      <x:c r="D18" s="3" t="str">
        <x:v>I05. Already included in the supplied PV; do not add to package a second time.</x:v>
      </x:c>
    </x:row>
    <x:row r="19" ht="44" customHeight="1">
      <x:c r="A19" s="3" t="str">
        <x:v>TRS direction</x:v>
      </x:c>
      <x:c r="B19" s="56" t="str">
        <x:v>SELL / pay total return</x:v>
      </x:c>
      <x:c r="C19" s="3" t="str">
        <x:v>Trade term</x:v>
      </x:c>
      <x:c r="D19" s="3" t="str">
        <x:v>I01 / I and product description.</x:v>
      </x:c>
    </x:row>
    <x:row r="20" ht="44" customHeight="1">
      <x:c r="A20" s="3" t="str">
        <x:v>Reference bond ISIN</x:v>
      </x:c>
      <x:c r="B20" s="56" t="str">
        <x:v>CND1000651J2</x:v>
      </x:c>
      <x:c r="C20" s="3" t="str">
        <x:v>Identifier</x:v>
      </x:c>
      <x:c r="D20" s="3" t="str">
        <x:v>I18 / A.</x:v>
      </x:c>
    </x:row>
    <x:row r="21" ht="44" customHeight="1">
      <x:c r="A21" s="3" t="str">
        <x:v>TRS trade / book</x:v>
      </x:c>
      <x:c r="B21" s="56" t="str">
        <x:v>5384929 / CRD779</x:v>
      </x:c>
      <x:c r="C21" s="3" t="str">
        <x:v>Identifier</x:v>
      </x:c>
      <x:c r="D21" s="3" t="str">
        <x:v>I01 / A-B.</x:v>
      </x:c>
    </x:row>
    <x:row r="22" ht="44" customHeight="1">
      <x:c r="A22" s="3" t="str">
        <x:v>Swap trade / book</x:v>
      </x:c>
      <x:c r="B22" s="56" t="str">
        <x:v>9088076H / AMHCRD779T</x:v>
      </x:c>
      <x:c r="C22" s="3" t="str">
        <x:v>Identifier</x:v>
      </x:c>
      <x:c r="D22" s="3" t="str">
        <x:v>I05 / G; I19 ticket.</x:v>
      </x:c>
    </x:row>
    <x:row r="23" ht="44" customHeight="1">
      <x:c r="A23" s="3"/>
      <x:c r="B23" s="3"/>
      <x:c r="C23" s="3"/>
      <x:c r="D23" s="3"/>
    </x:row>
    <x:row r="24" ht="27" customHeight="1">
      <x:c r="A24" s="49" t="str">
        <x:v>MODEL UNITS &amp; TRANSPARENT CONVENTIONS</x:v>
      </x:c>
      <x:c r="B24" s="49" t="str">
        <x:v>MODEL UNITS &amp; TRANSPARENT CONVENTIONS</x:v>
      </x:c>
      <x:c r="C24" s="49" t="str">
        <x:v>MODEL UNITS &amp; TRANSPARENT CONVENTIONS</x:v>
      </x:c>
      <x:c r="D24" s="49" t="str">
        <x:v>MODEL UNITS &amp; TRANSPARENT CONVENTIONS</x:v>
      </x:c>
    </x:row>
    <x:row r="25" ht="44" customHeight="1">
      <x:c r="A25" s="3" t="str">
        <x:v>Price per-100 divisor</x:v>
      </x:c>
      <x:c r="B25" s="57" t="n">
        <x:v>100</x:v>
      </x:c>
      <x:c r="C25" s="3" t="str">
        <x:v>Unit constant</x:v>
      </x:c>
      <x:c r="D25" s="3" t="str">
        <x:v>Prices quoted per 100 face value; this is a unit conversion, not a market assumption.</x:v>
      </x:c>
    </x:row>
    <x:row r="26" ht="44" customHeight="1">
      <x:c r="A26" s="3" t="str">
        <x:v>Basis points per unit rate</x:v>
      </x:c>
      <x:c r="B26" s="57" t="n">
        <x:v>10000</x:v>
      </x:c>
      <x:c r="C26" s="3" t="str">
        <x:v>Unit constant</x:v>
      </x:c>
      <x:c r="D26" s="3" t="str">
        <x:v>10,000 basis points = 100%.</x:v>
      </x:c>
    </x:row>
    <x:row r="27" ht="44" customHeight="1">
      <x:c r="A27" s="3" t="str">
        <x:v>USD interest day-count basis</x:v>
      </x:c>
      <x:c r="B27" s="57" t="n">
        <x:v>360</x:v>
      </x:c>
      <x:c r="C27" s="3" t="str">
        <x:v>ACT/360</x:v>
      </x:c>
      <x:c r="D27" s="3" t="str">
        <x:v>I19 A360. TRS matching convention must be confirmed before independent funding mode.</x:v>
      </x:c>
    </x:row>
    <x:row r="28" ht="44" customHeight="1">
      <x:c r="A28" s="3" t="str">
        <x:v>Bond coupon-year length</x:v>
      </x:c>
      <x:c r="B28" s="58" t="n">
        <x:f>DATE(YEAR(B5)+B33,MONTH(B15),DAY(B15))-DATE(YEAR(B5),MONTH(B15),DAY(B15))</x:f>
        <x:v>365</x:v>
      </x:c>
      <x:c r="C28" s="3" t="str">
        <x:v>Actual annual days</x:v>
      </x:c>
      <x:c r="D28" s="3" t="str">
        <x:v>Annual coupon period inferred from the bond maturity description and AI consistency.</x:v>
      </x:c>
    </x:row>
    <x:row r="29" ht="44" customHeight="1">
      <x:c r="A29" s="3" t="str">
        <x:v>Accrued price rounding digits</x:v>
      </x:c>
      <x:c r="B29" s="57" t="n">
        <x:v>5</x:v>
      </x:c>
      <x:c r="C29" s="3" t="str">
        <x:v>Inferred convention</x:v>
      </x:c>
      <x:c r="D29" s="3" t="str">
        <x:v>Rounding per-100 AI to five decimals exactly matches I04 AI_TR. This is an inference, not a confirmed contractual rule.</x:v>
      </x:c>
    </x:row>
    <x:row r="30" ht="44" customHeight="1">
      <x:c r="A30" s="3" t="str">
        <x:v>Reporting FX rounding digits</x:v>
      </x:c>
      <x:c r="B30" s="57" t="n">
        <x:v>4</x:v>
      </x:c>
      <x:c r="C30" s="3" t="str">
        <x:v>Inferred convention</x:v>
      </x:c>
      <x:c r="D30" s="3" t="str">
        <x:v>CNY balance / translated USD balance implies 6.7527 CNY per USD.</x:v>
      </x:c>
    </x:row>
    <x:row r="31" ht="44" customHeight="1">
      <x:c r="A31" s="3" t="str">
        <x:v>Amount rounding digits</x:v>
      </x:c>
      <x:c r="B31" s="57" t="n">
        <x:v>2</x:v>
      </x:c>
      <x:c r="C31" s="3" t="str">
        <x:v>Presentation / reports</x:v>
      </x:c>
      <x:c r="D31" s="3" t="str">
        <x:v>Report leg balances are shown to cents.</x:v>
      </x:c>
    </x:row>
    <x:row r="32" ht="44" customHeight="1">
      <x:c r="A32" s="3" t="str">
        <x:v>Zero</x:v>
      </x:c>
      <x:c r="B32" s="57" t="n">
        <x:v>0</x:v>
      </x:c>
      <x:c r="C32" s="3" t="str">
        <x:v>Model constant</x:v>
      </x:c>
      <x:c r="D32" s="3" t="str">
        <x:v>Zero for formula guards and missing cash explicitly shown as zero.</x:v>
      </x:c>
    </x:row>
    <x:row r="33" ht="44" customHeight="1">
      <x:c r="A33" s="3" t="str">
        <x:v>One</x:v>
      </x:c>
      <x:c r="B33" s="57" t="n">
        <x:v>1</x:v>
      </x:c>
      <x:c r="C33" s="3" t="str">
        <x:v>Model constant</x:v>
      </x:c>
      <x:c r="D33" s="3" t="str">
        <x:v>Unit for date progression and factor arithmetic.</x:v>
      </x:c>
    </x:row>
    <x:row r="34" ht="44" customHeight="1">
      <x:c r="A34" s="3" t="str">
        <x:v>Sensitivity price step</x:v>
      </x:c>
      <x:c r="B34" s="51" t="n">
        <x:v>0.25</x:v>
      </x:c>
      <x:c r="C34" s="3" t="str">
        <x:v>Price points</x:v>
      </x:c>
      <x:c r="D34" s="3" t="str">
        <x:v>Analytical scenario control, not a historical market input.</x:v>
      </x:c>
    </x:row>
    <x:row r="35" ht="44" customHeight="1">
      <x:c r="A35" s="3" t="str">
        <x:v>USD reconciliation tolerance</x:v>
      </x:c>
      <x:c r="B35" s="59" t="n">
        <x:v>0.01</x:v>
      </x:c>
      <x:c r="C35" s="3" t="str">
        <x:v>USD</x:v>
      </x:c>
      <x:c r="D35" s="3" t="str">
        <x:v>One-cent rounding tolerance.</x:v>
      </x:c>
    </x:row>
    <x:row r="36" ht="44" customHeight="1">
      <x:c r="A36" s="3" t="str">
        <x:v>Native CNY reconciliation tolerance</x:v>
      </x:c>
      <x:c r="B36" s="59" t="n">
        <x:v>0.1</x:v>
      </x:c>
      <x:c r="C36" s="3" t="str">
        <x:v>CNY</x:v>
      </x:c>
      <x:c r="D36" s="3" t="str">
        <x:v>Allows rounding of the separately displayed source leg amounts and FX.</x:v>
      </x:c>
    </x:row>
    <x:row r="37" ht="27" customHeight="1">
      <x:c r="A37" s="49" t="str">
        <x:v>DERIVED FROM THE PROVIDED REPORT — NOT INDEPENDENT MARKET DATA</x:v>
      </x:c>
      <x:c r="B37" s="49" t="str">
        <x:v>DERIVED FROM THE PROVIDED REPORT — NOT INDEPENDENT MARKET DATA</x:v>
      </x:c>
      <x:c r="C37" s="49" t="str">
        <x:v>DERIVED FROM THE PROVIDED REPORT — NOT INDEPENDENT MARKET DATA</x:v>
      </x:c>
      <x:c r="D37" s="49" t="str">
        <x:v>DERIVED FROM THE PROVIDED REPORT — NOT INDEPENDENT MARKET DATA</x:v>
      </x:c>
    </x:row>
    <x:row r="38" ht="44" customHeight="1">
      <x:c r="A38" s="3" t="str">
        <x:v>CNY per USD reporting FX, inferred</x:v>
      </x:c>
      <x:c r="B38" s="60" t="n">
        <x:f>ROUND('Source Data'!$B$6/'Source Data'!$B$7,B30)</x:f>
        <x:v>6.7527</x:v>
      </x:c>
      <x:c r="C38" s="3" t="str">
        <x:v>CNY / USD</x:v>
      </x:c>
      <x:c r="D38" s="3" t="str">
        <x:v>Derived from matching CNY and USD BS rows. This is not an independently supplied FX quote.</x:v>
      </x:c>
    </x:row>
    <x:row r="39" ht="44" customHeight="1">
      <x:c r="A39" s="3" t="str">
        <x:v>Reported bond AI per 100</x:v>
      </x:c>
      <x:c r="B39" s="61" t="n">
        <x:f>ABS('Source Data'!$B$5)/ABS(B7)*B25</x:f>
        <x:v>1.2576399999999999</x:v>
      </x:c>
      <x:c r="C39" s="3" t="str">
        <x:v>Per 100 / derived</x:v>
      </x:c>
      <x:c r="D39" s="3" t="str">
        <x:v>Source AI_TR converted into per-100 units.</x:v>
      </x:c>
    </x:row>
    <x:row r="40" ht="44" customHeight="1">
      <x:c r="A40" s="3" t="str">
        <x:v>Bond accrual days implied by report</x:v>
      </x:c>
      <x:c r="B40" s="58" t="n">
        <x:f>ROUND(B39/(B11*B25)*B28,B32)</x:f>
        <x:v>152</x:v>
      </x:c>
      <x:c r="C40" s="3" t="str">
        <x:v>Days / inferred</x:v>
      </x:c>
      <x:c r="D40" s="3" t="str">
        <x:v>Nearest whole number of coupon-accrual days implied by the report.</x:v>
      </x:c>
    </x:row>
    <x:row r="41" ht="44" customHeight="1">
      <x:c r="A41" s="3" t="str">
        <x:v>Inferred last annual coupon date</x:v>
      </x:c>
      <x:c r="B41" s="62" t="n">
        <x:f>DATE(YEAR(B5),MONTH(B15),DAY(B15))</x:f>
        <x:v>46087</x:v>
      </x:c>
      <x:c r="C41" s="3" t="str">
        <x:v>Date / inferred</x:v>
      </x:c>
      <x:c r="D41" s="3" t="str">
        <x:v>6 March 2026; verify the actual bond schedule for independent valuation.</x:v>
      </x:c>
    </x:row>
    <x:row r="42" ht="44" customHeight="1">
      <x:c r="A42" s="3" t="str">
        <x:v>Effective bond accrual date in report</x:v>
      </x:c>
      <x:c r="B42" s="62" t="n">
        <x:f>B41+B40</x:f>
        <x:v>46239</x:v>
      </x:c>
      <x:c r="C42" s="3" t="str">
        <x:v>Date / inferred</x:v>
      </x:c>
      <x:c r="D42" s="3" t="str">
        <x:v>152 days imply 5 August, one day after the stated valuation date. This may be a settlement convention.</x:v>
      </x:c>
    </x:row>
    <x:row r="43" ht="44" customHeight="1">
      <x:c r="A43" s="3" t="str">
        <x:v>Implied report bond-accrual lag</x:v>
      </x:c>
      <x:c r="B43" s="58" t="n">
        <x:f>B42-B5</x:f>
        <x:v>1</x:v>
      </x:c>
      <x:c r="C43" s="3" t="str">
        <x:v>Calendar days</x:v>
      </x:c>
      <x:c r="D43" s="3" t="str">
        <x:v>Report preserves this basis. The file also shows a strict 4-Aug comparison.</x:v>
      </x:c>
    </x:row>
    <x:row r="44" ht="44" customHeight="1">
      <x:c r="A44" s="3" t="str">
        <x:v>Strict valuation-date bond accrual days</x:v>
      </x:c>
      <x:c r="B44" s="58" t="n">
        <x:f>B5-B41</x:f>
        <x:v>151</x:v>
      </x:c>
      <x:c r="C44" s="3" t="str">
        <x:v>Days / formula</x:v>
      </x:c>
      <x:c r="D44" s="3" t="str">
        <x:v>151 days from 6 March to 4 August.</x:v>
      </x:c>
    </x:row>
    <x:row r="45" ht="44" customHeight="1">
      <x:c r="A45" s="3" t="str">
        <x:v>Illustrative funding days to report AI date</x:v>
      </x:c>
      <x:c r="B45" s="58" t="n">
        <x:f>B42-B13</x:f>
        <x:v>55</x:v>
      </x:c>
      <x:c r="C45" s="3" t="str">
        <x:v>Days / inferred</x:v>
      </x:c>
      <x:c r="D45" s="3" t="str">
        <x:v>55 days only if USD funding uses the same cut-off; not confirmed by the screenshots.</x:v>
      </x:c>
    </x:row>
    <x:row r="46" ht="44" customHeight="1">
      <x:c r="A46" s="3" t="str">
        <x:v>Observed funding accrual</x:v>
      </x:c>
      <x:c r="B46" s="55" t="n">
        <x:f>'Source Data'!$C$18</x:f>
        <x:v>504670.22</x:v>
      </x:c>
      <x:c r="C46" s="3" t="str">
        <x:v>USD / source dependency</x:v>
      </x:c>
      <x:c r="D46" s="3" t="str">
        <x:v>Historical SOFR fixings are absent. This is the material report anchor for funding.</x:v>
      </x:c>
    </x:row>
    <x:row r="47" ht="44" customHeight="1">
      <x:c r="A47" s="3" t="str">
        <x:v>Implied all-in simple funding rate</x:v>
      </x:c>
      <x:c r="B47" s="63" t="n">
        <x:f>B46/B8*B27/B45</x:f>
        <x:v>0.04257581646923311</x:v>
      </x:c>
      <x:c r="C47" s="3" t="str">
        <x:v>Diagnostic proxy</x:v>
      </x:c>
      <x:c r="D47" s="3" t="str">
        <x:v>Reverse-solved from reported accrual and inferred days; not an independently observed market rate.</x:v>
      </x:c>
    </x:row>
    <x:row r="48" ht="44" customHeight="1">
      <x:c r="A48" s="3" t="str">
        <x:v>Implied SOFR component, simple proxy</x:v>
      </x:c>
      <x:c r="B48" s="63" t="n">
        <x:f>B47-B9/B26</x:f>
        <x:v>0.036345816469233114</x:v>
      </x:c>
      <x:c r="C48" s="3" t="str">
        <x:v>Diagnostic proxy</x:v>
      </x:c>
      <x:c r="D48" s="3" t="str">
        <x:v>Do not treat this averaged proxy as any daily fixing or use it as independent valuation evidence.</x:v>
      </x:c>
    </x:row>
    <x:row r="49" ht="44" customHeight="1">
      <x:c r="A49" s="3" t="str">
        <x:v>Observed YTD-minus-closing USD bridge</x:v>
      </x:c>
      <x:c r="B49" s="55" t="n">
        <x:f>'Source Data'!$B$9-'Source Data'!$B$7</x:f>
        <x:v>207594.02000001073</x:v>
      </x:c>
      <x:c r="C49" s="3" t="str">
        <x:v>USD / source dependency</x:v>
      </x:c>
      <x:c r="D49" s="3" t="str">
        <x:v>Observable reconciliation residual. Historical FX, ledger and adjustment history are needed to establish its cause.</x:v>
      </x:c>
    </x:row>
    <x:row r="50" ht="44" customHeight="1">
      <x:c r="A50" s="3" t="str">
        <x:v>Known YTD COF, both TRS rows</x:v>
      </x:c>
      <x:c r="B50" s="64" t="n">
        <x:f>SUM('Source Data'!$B$54,'Source Data'!$C$54)</x:f>
        <x:v>-320406.0151</x:v>
      </x:c>
      <x:c r="C50" s="3" t="str">
        <x:v>USD / source dependency</x:v>
      </x:c>
      <x:c r="D50" s="3" t="str">
        <x:v>Known TRS COF only; swap COF not supplied.</x:v>
      </x:c>
    </x:row>
    <x:row r="51" ht="44" customHeight="1">
      <x:c r="A51" s="3"/>
      <x:c r="B51" s="3"/>
      <x:c r="C51" s="3"/>
      <x:c r="D51" s="3"/>
    </x:row>
    <x:row r="52" ht="27" customHeight="1">
      <x:c r="A52" s="49" t="str">
        <x:v>OPTIONAL PATH TO REMOVE THE FUNDING REPORT ANCHOR</x:v>
      </x:c>
      <x:c r="B52" s="49" t="str">
        <x:v>OPTIONAL PATH TO REMOVE THE FUNDING REPORT ANCHOR</x:v>
      </x:c>
      <x:c r="C52" s="49" t="str">
        <x:v>OPTIONAL PATH TO REMOVE THE FUNDING REPORT ANCHOR</x:v>
      </x:c>
      <x:c r="D52" s="49" t="str">
        <x:v>OPTIONAL PATH TO REMOVE THE FUNDING REPORT ANCHOR</x:v>
      </x:c>
    </x:row>
    <x:row r="53" ht="44" customHeight="1">
      <x:c r="A53" s="3" t="str">
        <x:v>Independent funding convention</x:v>
      </x:c>
      <x:c r="B53" s="56" t="str">
        <x:v>Unconfirmed</x:v>
      </x:c>
      <x:c r="C53" s="3" t="str">
        <x:v>Required confirmation</x:v>
      </x:c>
      <x:c r="D53" s="3" t="str">
        <x:v>Choose Simple average or Daily compounded only after checking the TRS confirmation, fixing lag, observation calendar and spread treatment.</x:v>
      </x:c>
    </x:row>
    <x:row r="54" ht="44" customHeight="1">
      <x:c r="A54" s="3" t="str">
        <x:v>Optional funding cut-off lag</x:v>
      </x:c>
      <x:c r="B54" s="58" t="n">
        <x:f>B43</x:f>
        <x:v>1</x:v>
      </x:c>
      <x:c r="C54" s="3" t="str">
        <x:v>Days / confirm before use</x:v>
      </x:c>
      <x:c r="D54" s="3" t="str">
        <x:v>Initial link to inferred bond cut-off is only a scaffold for a future independent fixing calculation.</x:v>
      </x:c>
    </x:row>
    <x:row r="55" ht="44" customHeight="1">
      <x:c r="A55" s="3" t="str">
        <x:v>Optional funding accrual start</x:v>
      </x:c>
      <x:c r="B55" s="62" t="n">
        <x:f>B13</x:f>
        <x:v>46184</x:v>
      </x:c>
      <x:c r="C55" s="3" t="str">
        <x:v>Date</x:v>
      </x:c>
      <x:c r="D55" s="3" t="str">
        <x:v>No intermediate cash is shown. Payment/reset schedule still needs confirmation.</x:v>
      </x:c>
    </x:row>
    <x:row r="56" ht="44" customHeight="1">
      <x:c r="A56" s="3" t="str">
        <x:v>Optional funding accrual end</x:v>
      </x:c>
      <x:c r="B56" s="62" t="n">
        <x:f>B5+B54</x:f>
        <x:v>46239</x:v>
      </x:c>
      <x:c r="C56" s="3" t="str">
        <x:v>Date</x:v>
      </x:c>
      <x:c r="D56" s="3" t="str">
        <x:v>Change only with a confirmed accrual convention.</x:v>
      </x:c>
    </x:row>
    <x:row r="57" ht="44" customHeight="1">
      <x:c r="A57" s="3" t="str">
        <x:v>Prior-year PV for these new tickets</x:v>
      </x:c>
      <x:c r="B57" s="65" t="n">
        <x:f>IF(YEAR(B12)=YEAR(B5),B32,"")</x:f>
        <x:v>0</x:v>
      </x:c>
      <x:c r="C57" s="3" t="str">
        <x:v>USD / scope assumption</x:v>
      </x:c>
      <x:c r="D57" s="3" t="str">
        <x:v>Both supplied tickets are new in 2026. Assumes no novation, predecessor balance or off-ticket opening adjustment.</x:v>
      </x:c>
    </x:row>
    <x:row r="58" ht="23" customHeight="1">
      <x:c r="A58" s="2"/>
      <x:c r="B58" s="2"/>
      <x:c r="C58" s="2"/>
      <x:c r="D58" s="2"/>
    </x:row>
    <x:row r="59" ht="56" customHeight="1">
      <x:c r="A59" s="66" t="str">
        <x:v>Two non-trade items remain anchored to source observations: USD funding accrual and the historical YTD bridge. They are never presented as independent calculations. Full forward funding / discounting data are also absent.</x:v>
      </x:c>
      <x:c r="B59" s="66" t="str">
        <x:v>Two non-trade items remain anchored to source observations: USD funding accrual and the historical YTD bridge. They are never presented as independent calculations. Full forward funding / discounting data are also absent.</x:v>
      </x:c>
      <x:c r="C59" s="66" t="str">
        <x:v>Two non-trade items remain anchored to source observations: USD funding accrual and the historical YTD bridge. They are never presented as independent calculations. Full forward funding / discounting data are also absent.</x:v>
      </x:c>
      <x:c r="D59" s="66" t="str">
        <x:v>Two non-trade items remain anchored to source observations: USD funding accrual and the historical YTD bridge. They are never presented as independent calculations. Full forward funding / discounting data are also absent.</x:v>
      </x:c>
    </x:row>
    <x:row r="60" ht="23" customHeight="1">
      <x:c r="A60" s="2"/>
      <x:c r="B60" s="2"/>
      <x:c r="C60" s="2"/>
      <x:c r="D60" s="2"/>
    </x:row>
    <x:row r="61" ht="23" customHeight="1">
      <x:c r="A61" s="2"/>
      <x:c r="B61" s="2"/>
      <x:c r="C61" s="2"/>
      <x:c r="D61" s="2"/>
    </x:row>
    <x:row r="62" ht="23" customHeight="1">
      <x:c r="A62" s="2"/>
      <x:c r="B62" s="2"/>
      <x:c r="C62" s="2"/>
      <x:c r="D62" s="2"/>
    </x:row>
  </x:sheetData>
  <x:mergeCells>
    <x:mergeCell ref="A1:D1"/>
    <x:mergeCell ref="A2:D2"/>
    <x:mergeCell ref="A24:D24"/>
    <x:mergeCell ref="A37:D37"/>
    <x:mergeCell ref="A52:D52"/>
    <x:mergeCell ref="A59:D59"/>
  </x:mergeCells>
  <x:dataValidations count="1">
    <x:dataValidation type="list" sqref="B53">
      <x:formula1>"Unconfirmed,Simple average,Daily compounded"</x:formula1>
    </x:dataValidation>
  </x:dataValidations>
  <x:pageMargins left="0.7" right="0.7" top="0.75" bottom="0.75" header="0.3" footer="0.3"/>
  <x:legacyDrawing xmlns:r="http://schemas.openxmlformats.org/officeDocument/2006/relationships" r:id="R0064b5c542354b72"/>
</x:worksheet>
</file>

<file path=xl/worksheets/sheet5.xml><?xml version="1.0" encoding="utf-8"?>
<x:worksheet xmlns:x="http://schemas.openxmlformats.org/spreadsheetml/2006/main">
  <x:sheetViews>
    <x:sheetView showGridLines="0" workbookViewId="0"/>
  </x:sheetViews>
  <x:sheetFormatPr defaultRowHeight="15"/>
  <x:cols>
    <x:col min="1" max="1" width="46" hidden="0" customWidth="1"/>
    <x:col min="2" max="2" width="24" hidden="0" customWidth="1"/>
    <x:col min="3" max="3" width="24" hidden="0" customWidth="1"/>
    <x:col min="4" max="4" width="22" hidden="0" customWidth="1"/>
    <x:col min="5" max="5" width="17" hidden="0" customWidth="1"/>
    <x:col min="6" max="6" width="28" hidden="0" customWidth="1"/>
    <x:col min="7" max="7" width="72" hidden="0" customWidth="1"/>
  </x:cols>
  <x:sheetData>
    <x:row r="1" ht="39" customHeight="1">
      <x:c r="A1" s="5" t="str">
        <x:v>SOURCE OBSERVATIONS | 4 AUG 2026</x:v>
      </x:c>
      <x:c r="B1" s="5" t="str">
        <x:v>SOURCE OBSERVATIONS | 4 AUG 2026</x:v>
      </x:c>
      <x:c r="C1" s="5" t="str">
        <x:v>SOURCE OBSERVATIONS | 4 AUG 2026</x:v>
      </x:c>
      <x:c r="D1" s="5" t="str">
        <x:v>SOURCE OBSERVATIONS | 4 AUG 2026</x:v>
      </x:c>
      <x:c r="E1" s="5" t="str">
        <x:v>SOURCE OBSERVATIONS | 4 AUG 2026</x:v>
      </x:c>
      <x:c r="F1" s="5" t="str">
        <x:v>SOURCE OBSERVATIONS | 4 AUG 2026</x:v>
      </x:c>
      <x:c r="G1" s="5" t="str">
        <x:v>SOURCE OBSERVATIONS | 4 AUG 2026</x:v>
      </x:c>
    </x:row>
    <x:row r="2" ht="43" customHeight="1">
      <x:c r="A2" s="6" t="str">
        <x:v>Transcribed from all supplied screenshots. Hardcoded report observations are audit evidence; they are not independently calculated market inputs.</x:v>
      </x:c>
      <x:c r="B2" s="3" t="str">
        <x:v>Transcribed from all supplied screenshots. Hardcoded report observations are audit evidence; they are not independently calculated market inputs.</x:v>
      </x:c>
      <x:c r="C2" s="3" t="str">
        <x:v>Transcribed from all supplied screenshots. Hardcoded report observations are audit evidence; they are not independently calculated market inputs.</x:v>
      </x:c>
      <x:c r="D2" s="3" t="str">
        <x:v>Transcribed from all supplied screenshots. Hardcoded report observations are audit evidence; they are not independently calculated market inputs.</x:v>
      </x:c>
      <x:c r="E2" s="3" t="str">
        <x:v>Transcribed from all supplied screenshots. Hardcoded report observations are audit evidence; they are not independently calculated market inputs.</x:v>
      </x:c>
      <x:c r="F2" s="3" t="str">
        <x:v>Transcribed from all supplied screenshots. Hardcoded report observations are audit evidence; they are not independently calculated market inputs.</x:v>
      </x:c>
      <x:c r="G2" s="3" t="str">
        <x:v>Transcribed from all supplied screenshots. Hardcoded report observations are audit evidence; they are not independently calculated market inputs.</x:v>
      </x:c>
    </x:row>
    <x:row r="3" ht="23" customHeight="1">
      <x:c r="A3" s="2"/>
      <x:c r="B3" s="2"/>
      <x:c r="C3" s="2"/>
      <x:c r="D3" s="2"/>
      <x:c r="E3" s="2"/>
      <x:c r="F3" s="2"/>
      <x:c r="G3" s="2"/>
    </x:row>
    <x:row r="4" ht="34" customHeight="1">
      <x:c r="A4" s="9" t="str">
        <x:v>Source field</x:v>
      </x:c>
      <x:c r="B4" s="9" t="str">
        <x:v>CNY TRS / native</x:v>
      </x:c>
      <x:c r="C4" s="9" t="str">
        <x:v>USD TRS</x:v>
      </x:c>
      <x:c r="D4" s="9" t="str">
        <x:v>Swap 9088076H</x:v>
      </x:c>
      <x:c r="E4" s="9" t="str">
        <x:v>Units</x:v>
      </x:c>
      <x:c r="F4" s="9" t="str">
        <x:v>Source image / column</x:v>
      </x:c>
      <x:c r="G4" s="9" t="str">
        <x:v>Interpretation / limitation</x:v>
      </x:c>
    </x:row>
    <x:row r="5" ht="43" customHeight="1">
      <x:c r="A5" s="3" t="str">
        <x:v>Reported leg accrual</x:v>
      </x:c>
      <x:c r="B5" s="12" t="n">
        <x:v>-6036672</x:v>
      </x:c>
      <x:c r="C5" s="12" t="n">
        <x:v>504670.22</x:v>
      </x:c>
      <x:c r="D5" s="12" t="n">
        <x:v>5100.28</x:v>
      </x:c>
      <x:c r="E5" s="3" t="str">
        <x:v>Leg CCY</x:v>
      </x:c>
      <x:c r="F5" s="3" t="str">
        <x:v>I05 / M; I04 / AJ-AK</x:v>
      </x:c>
      <x:c r="G5" s="3" t="str">
        <x:v>Swap accrual is already within its supplied closing PV; do not add it again.</x:v>
      </x:c>
    </x:row>
    <x:row r="6" ht="43" customHeight="1">
      <x:c r="A6" s="3" t="str">
        <x:v>BS_Unadjusted_CCY / BS_Net_CCY</x:v>
      </x:c>
      <x:c r="B6" s="12" t="n">
        <x:v>-527200512</x:v>
      </x:c>
      <x:c r="C6" s="12" t="n">
        <x:v>78090874.3</x:v>
      </x:c>
      <x:c r="D6" s="12" t="n">
        <x:v>5616.06</x:v>
      </x:c>
      <x:c r="E6" s="3" t="str">
        <x:v>Leg CCY</x:v>
      </x:c>
      <x:c r="F6" s="3" t="str">
        <x:v>I07 / AX-AZ</x:v>
      </x:c>
      <x:c r="G6" s="3" t="str">
        <x:v>No BS adjustment is shown.</x:v>
      </x:c>
    </x:row>
    <x:row r="7" ht="43" customHeight="1">
      <x:c r="A7" s="3" t="str">
        <x:v>BS_Unadjusted_RPT / BS_Net_RPT</x:v>
      </x:c>
      <x:c r="B7" s="12" t="n">
        <x:v>-78072550.54</x:v>
      </x:c>
      <x:c r="C7" s="12" t="n">
        <x:v>78090874.3</x:v>
      </x:c>
      <x:c r="D7" s="12" t="n">
        <x:v>5616.06</x:v>
      </x:c>
      <x:c r="E7" s="3" t="str">
        <x:v>USD</x:v>
      </x:c>
      <x:c r="F7" s="3" t="str">
        <x:v>I09 / CG-CI</x:v>
      </x:c>
      <x:c r="G7" s="3" t="str">
        <x:v>Current translated closing values.</x:v>
      </x:c>
    </x:row>
    <x:row r="8" ht="43" customHeight="1">
      <x:c r="A8" s="3" t="str">
        <x:v>YTD_PL_CCY / YTD_PL_CCY_Net</x:v>
      </x:c>
      <x:c r="B8" s="12" t="n">
        <x:v>-527200512</x:v>
      </x:c>
      <x:c r="C8" s="12" t="n">
        <x:v>78090874.3</x:v>
      </x:c>
      <x:c r="D8" s="12" t="n">
        <x:v>5616.06</x:v>
      </x:c>
      <x:c r="E8" s="3" t="str">
        <x:v>Leg CCY</x:v>
      </x:c>
      <x:c r="F8" s="3" t="str">
        <x:v>I09 / BY-CA</x:v>
      </x:c>
      <x:c r="G8" s="3" t="str">
        <x:v>Trade entered in June 2026.</x:v>
      </x:c>
    </x:row>
    <x:row r="9" ht="43" customHeight="1">
      <x:c r="A9" s="3" t="str">
        <x:v>YTD_PL_RPT / YTD_PL_RPT_Net</x:v>
      </x:c>
      <x:c r="B9" s="12" t="n">
        <x:v>-77864956.52</x:v>
      </x:c>
      <x:c r="C9" s="12" t="n">
        <x:v>78090874.3</x:v>
      </x:c>
      <x:c r="D9" s="12" t="n">
        <x:v>5616.06</x:v>
      </x:c>
      <x:c r="E9" s="3" t="str">
        <x:v>USD</x:v>
      </x:c>
      <x:c r="F9" s="3" t="str">
        <x:v>I09 / CB-CD</x:v>
      </x:c>
      <x:c r="G9" s="3" t="str">
        <x:v>Primary YTD target for reconciliation.</x:v>
      </x:c>
    </x:row>
    <x:row r="10" ht="43" customHeight="1">
      <x:c r="A10" s="3" t="str">
        <x:v>YTD cash / YTD cash net</x:v>
      </x:c>
      <x:c r="B10" s="12" t="n">
        <x:v>0</x:v>
      </x:c>
      <x:c r="C10" s="12" t="n">
        <x:v>0</x:v>
      </x:c>
      <x:c r="D10" s="12" t="n">
        <x:v>0</x:v>
      </x:c>
      <x:c r="E10" s="3" t="str">
        <x:v>Leg CCY</x:v>
      </x:c>
      <x:c r="F10" s="3" t="str">
        <x:v>I07 / BG-BI</x:v>
      </x:c>
      <x:c r="G10" s="3" t="str">
        <x:v>All three rows show zero.</x:v>
      </x:c>
    </x:row>
    <x:row r="11" ht="43" customHeight="1">
      <x:c r="A11" s="3" t="str">
        <x:v>Daily_PL_CCY / Daily_PL_CCY_Net</x:v>
      </x:c>
      <x:c r="B11" s="12" t="n">
        <x:v>-179856</x:v>
      </x:c>
      <x:c r="C11" s="12" t="n">
        <x:v>9360.25</x:v>
      </x:c>
      <x:c r="D11" s="12" t="n">
        <x:v>-22.91</x:v>
      </x:c>
      <x:c r="E11" s="3" t="str">
        <x:v>Leg CCY</x:v>
      </x:c>
      <x:c r="F11" s="3" t="str">
        <x:v>I08 / BJ-BL</x:v>
      </x:c>
      <x:c r="G11" s="3" t="str">
        <x:v>TRS daily P&amp;L equals the change in the displayed opening / closing MTM in each currency.</x:v>
      </x:c>
    </x:row>
    <x:row r="12" ht="43" customHeight="1">
      <x:c r="A12" s="3" t="str">
        <x:v>Daily_PL_RPT / net / excFXReval</x:v>
      </x:c>
      <x:c r="B12" s="15" t="n">
        <x:v>-26634.67947</x:v>
      </x:c>
      <x:c r="C12" s="15" t="n">
        <x:v>9360.25</x:v>
      </x:c>
      <x:c r="D12" s="15" t="n">
        <x:v>-22.91</x:v>
      </x:c>
      <x:c r="E12" s="3" t="str">
        <x:v>USD</x:v>
      </x:c>
      <x:c r="F12" s="3" t="str">
        <x:v>I08 / BM-BR</x:v>
      </x:c>
      <x:c r="G12" s="3" t="str">
        <x:v>The three USD daily variants shown agree.</x:v>
      </x:c>
    </x:row>
    <x:row r="13" ht="43" customHeight="1">
      <x:c r="A13" s="3" t="str">
        <x:v>MTD_PL_CCY / MTD_PL_CCY_Net</x:v>
      </x:c>
      <x:c r="B13" s="12" t="n">
        <x:v>-250032</x:v>
      </x:c>
      <x:c r="C13" s="12" t="n">
        <x:v>37108.79</x:v>
      </x:c>
      <x:c r="D13" s="12" t="n">
        <x:v>5408.09</x:v>
      </x:c>
      <x:c r="E13" s="3" t="str">
        <x:v>Leg CCY</x:v>
      </x:c>
      <x:c r="F13" s="3" t="str">
        <x:v>I08 / BS-BU</x:v>
      </x:c>
      <x:c r="G13" s="3" t="str"/>
    </x:row>
    <x:row r="14" ht="43" customHeight="1">
      <x:c r="A14" s="3" t="str">
        <x:v>MTD_PL_RPT / MTD_PL_RPT_Net</x:v>
      </x:c>
      <x:c r="B14" s="12" t="n">
        <x:v>-37025.42824</x:v>
      </x:c>
      <x:c r="C14" s="12" t="n">
        <x:v>37108.79</x:v>
      </x:c>
      <x:c r="D14" s="12" t="n">
        <x:v>5408.09</x:v>
      </x:c>
      <x:c r="E14" s="3" t="str">
        <x:v>USD</x:v>
      </x:c>
      <x:c r="F14" s="3" t="str">
        <x:v>I08 / BV-BX</x:v>
      </x:c>
      <x:c r="G14" s="3" t="str"/>
    </x:row>
    <x:row r="15" ht="43" customHeight="1">
      <x:c r="A15" s="3" t="str">
        <x:v>PRICE_TR</x:v>
      </x:c>
      <x:c r="B15" s="12" t="n">
        <x:v>-521163840</x:v>
      </x:c>
      <x:c r="C15" s="12"/>
      <x:c r="D15" s="12"/>
      <x:c r="E15" s="3" t="str">
        <x:v>CNY</x:v>
      </x:c>
      <x:c r="F15" s="3" t="str">
        <x:v>I04 / AL</x:v>
      </x:c>
      <x:c r="G15" s="3" t="str">
        <x:v>Signed nominal times clean bond price / 100.</x:v>
      </x:c>
    </x:row>
    <x:row r="16" ht="43" customHeight="1">
      <x:c r="A16" s="3" t="str">
        <x:v>Trade-summary NPV</x:v>
      </x:c>
      <x:c r="B16" s="12" t="n">
        <x:v>123734.9</x:v>
      </x:c>
      <x:c r="C16" s="12"/>
      <x:c r="D16" s="12"/>
      <x:c r="E16" s="3" t="str">
        <x:v>CNY</x:v>
      </x:c>
      <x:c r="F16" s="3" t="str">
        <x:v>I01 currency + I03 / AD</x:v>
      </x:c>
      <x:c r="G16" s="3" t="str">
        <x:v>Native currency is CNY. It is not a USD NPV.</x:v>
      </x:c>
    </x:row>
    <x:row r="17" ht="43" customHeight="1">
      <x:c r="A17" s="3" t="str">
        <x:v>Trade-summary ACCRUAL</x:v>
      </x:c>
      <x:c r="B17" s="12" t="n">
        <x:v>-2628785.39</x:v>
      </x:c>
      <x:c r="C17" s="12"/>
      <x:c r="D17" s="12"/>
      <x:c r="E17" s="3" t="str">
        <x:v>CNY</x:v>
      </x:c>
      <x:c r="F17" s="3" t="str">
        <x:v>I03 / AF</x:v>
      </x:c>
      <x:c r="G17" s="3" t="str">
        <x:v>CNY bond accrual plus USD funding accrual translated to CNY.</x:v>
      </x:c>
    </x:row>
    <x:row r="18" ht="43" customHeight="1">
      <x:c r="A18" s="3" t="str">
        <x:v>AI_PREMIUM / MTM_FUNDING</x:v>
      </x:c>
      <x:c r="B18" s="12"/>
      <x:c r="C18" s="12" t="n">
        <x:v>504670.22</x:v>
      </x:c>
      <x:c r="D18" s="12"/>
      <x:c r="E18" s="3" t="str">
        <x:v>USD</x:v>
      </x:c>
      <x:c r="F18" s="3" t="str">
        <x:v>I04 / AJ, AO; I15 / BE</x:v>
      </x:c>
      <x:c r="G18" s="3" t="str">
        <x:v>Observed accrued funding. SOFR fixing history is not supplied.</x:v>
      </x:c>
    </x:row>
    <x:row r="19" ht="43" customHeight="1">
      <x:c r="A19" s="3" t="str">
        <x:v>MTM_LIBOR</x:v>
      </x:c>
      <x:c r="B19" s="12"/>
      <x:c r="C19" s="12" t="n">
        <x:v>0</x:v>
      </x:c>
      <x:c r="D19" s="12"/>
      <x:c r="E19" s="3" t="str">
        <x:v>USD</x:v>
      </x:c>
      <x:c r="F19" s="3" t="str">
        <x:v>I04 / AN</x:v>
      </x:c>
      <x:c r="G19" s="3" t="str">
        <x:v>The source shows zero; no independently observed forward curve is supplied.</x:v>
      </x:c>
    </x:row>
    <x:row r="20" ht="43" customHeight="1">
      <x:c r="A20" s="3" t="str">
        <x:v>PV_LOCKOUT</x:v>
      </x:c>
      <x:c r="B20" s="12" t="n">
        <x:v>0</x:v>
      </x:c>
      <x:c r="C20" s="12"/>
      <x:c r="D20" s="12"/>
      <x:c r="E20" s="3" t="str">
        <x:v>Source units</x:v>
      </x:c>
      <x:c r="F20" s="3" t="str">
        <x:v>I04 / AM</x:v>
      </x:c>
      <x:c r="G20" s="3" t="str">
        <x:v>Zero as displayed.</x:v>
      </x:c>
    </x:row>
    <x:row r="21" ht="43" customHeight="1">
      <x:c r="A21" s="3" t="str">
        <x:v>FEES_NPV</x:v>
      </x:c>
      <x:c r="B21" s="12"/>
      <x:c r="C21" s="12" t="n">
        <x:v>0</x:v>
      </x:c>
      <x:c r="D21" s="12"/>
      <x:c r="E21" s="3" t="str">
        <x:v>Source units</x:v>
      </x:c>
      <x:c r="F21" s="3" t="str">
        <x:v>I04 / AP</x:v>
      </x:c>
      <x:c r="G21" s="3" t="str">
        <x:v>Zero as displayed.</x:v>
      </x:c>
    </x:row>
    <x:row r="22" ht="43" customHeight="1">
      <x:c r="A22" s="3" t="str">
        <x:v>EXPECTED_CASH</x:v>
      </x:c>
      <x:c r="B22" s="12"/>
      <x:c r="C22" s="12" t="n">
        <x:v>0</x:v>
      </x:c>
      <x:c r="D22" s="12"/>
      <x:c r="E22" s="3" t="str">
        <x:v>Source units</x:v>
      </x:c>
      <x:c r="F22" s="3" t="str">
        <x:v>I04 / AQ</x:v>
      </x:c>
      <x:c r="G22" s="3" t="str">
        <x:v>Zero as displayed.</x:v>
      </x:c>
    </x:row>
    <x:row r="23" ht="43" customHeight="1">
      <x:c r="A23" s="3" t="str">
        <x:v>FUNDED_PRINCIPAL</x:v>
      </x:c>
      <x:c r="B23" s="12"/>
      <x:c r="C23" s="12" t="n">
        <x:v>0</x:v>
      </x:c>
      <x:c r="D23" s="12"/>
      <x:c r="E23" s="3" t="str">
        <x:v>Source units</x:v>
      </x:c>
      <x:c r="F23" s="3" t="str">
        <x:v>I04 / AT</x:v>
      </x:c>
      <x:c r="G23" s="3" t="str">
        <x:v>Funding notional still appears in the USD balance; confirm legal principal-exchange terms.</x:v>
      </x:c>
    </x:row>
    <x:row r="24" ht="43" customHeight="1">
      <x:c r="A24" s="3" t="str">
        <x:v>Opening MTM</x:v>
      </x:c>
      <x:c r="B24" s="12" t="n">
        <x:v>-527020656</x:v>
      </x:c>
      <x:c r="C24" s="12" t="n">
        <x:v>78081514.05</x:v>
      </x:c>
      <x:c r="D24" s="12"/>
      <x:c r="E24" s="3" t="str">
        <x:v>Leg CCY</x:v>
      </x:c>
      <x:c r="F24" s="3" t="str">
        <x:v>I10 / R</x:v>
      </x:c>
      <x:c r="G24" s="3" t="str">
        <x:v>Closing minus opening reconciles to the displayed daily P&amp;L.</x:v>
      </x:c>
    </x:row>
    <x:row r="25" ht="43" customHeight="1">
      <x:c r="A25" s="3" t="str">
        <x:v>Closing MTM</x:v>
      </x:c>
      <x:c r="B25" s="12" t="n">
        <x:v>-527200512</x:v>
      </x:c>
      <x:c r="C25" s="12" t="n">
        <x:v>78090874.3</x:v>
      </x:c>
      <x:c r="D25" s="12"/>
      <x:c r="E25" s="3" t="str">
        <x:v>Leg CCY</x:v>
      </x:c>
      <x:c r="F25" s="3" t="str">
        <x:v>I10 / S</x:v>
      </x:c>
      <x:c r="G25" s="3" t="str">
        <x:v>Matches the main BS table.</x:v>
      </x:c>
    </x:row>
    <x:row r="26" ht="43" customHeight="1">
      <x:c r="A26" s="3" t="str">
        <x:v>CR Effects</x:v>
      </x:c>
      <x:c r="B26" s="15" t="n">
        <x:v>-72722.30415</x:v>
      </x:c>
      <x:c r="C26" s="15" t="n">
        <x:v>0</x:v>
      </x:c>
      <x:c r="D26" s="15"/>
      <x:c r="E26" s="3" t="str">
        <x:v>Leg CCY</x:v>
      </x:c>
      <x:c r="F26" s="3" t="str">
        <x:v>I11 / V</x:v>
      </x:c>
      <x:c r="G26" s="3" t="str"/>
    </x:row>
    <x:row r="27" ht="43" customHeight="1">
      <x:c r="A27" s="3" t="str">
        <x:v>CR Effects (USD)</x:v>
      </x:c>
      <x:c r="B27" s="12" t="n">
        <x:v>-10769.36694</x:v>
      </x:c>
      <x:c r="C27" s="12" t="n">
        <x:v>0</x:v>
      </x:c>
      <x:c r="D27" s="12"/>
      <x:c r="E27" s="3" t="str">
        <x:v>USD</x:v>
      </x:c>
      <x:c r="F27" s="3" t="str">
        <x:v>I11 / W</x:v>
      </x:c>
      <x:c r="G27" s="3" t="str"/>
    </x:row>
    <x:row r="28" ht="43" customHeight="1">
      <x:c r="A28" s="3" t="str">
        <x:v>IR Effects</x:v>
      </x:c>
      <x:c r="B28" s="15" t="n">
        <x:v>-79199.8838</x:v>
      </x:c>
      <x:c r="C28" s="15" t="n">
        <x:v>0</x:v>
      </x:c>
      <x:c r="D28" s="15"/>
      <x:c r="E28" s="3" t="str">
        <x:v>Leg CCY</x:v>
      </x:c>
      <x:c r="F28" s="3" t="str">
        <x:v>I11 / X</x:v>
      </x:c>
      <x:c r="G28" s="3" t="str"/>
    </x:row>
    <x:row r="29" ht="43" customHeight="1">
      <x:c r="A29" s="3" t="str">
        <x:v>IR Effects (USD)</x:v>
      </x:c>
      <x:c r="B29" s="12" t="n">
        <x:v>-11728.62467</x:v>
      </x:c>
      <x:c r="C29" s="12" t="n">
        <x:v>0</x:v>
      </x:c>
      <x:c r="D29" s="12"/>
      <x:c r="E29" s="3" t="str">
        <x:v>USD</x:v>
      </x:c>
      <x:c r="F29" s="3" t="str">
        <x:v>I11 / Y</x:v>
      </x:c>
      <x:c r="G29" s="3" t="str"/>
    </x:row>
    <x:row r="30" ht="43" customHeight="1">
      <x:c r="A30" s="3" t="str">
        <x:v>FX Effects</x:v>
      </x:c>
      <x:c r="B30" s="12" t="n">
        <x:v>0</x:v>
      </x:c>
      <x:c r="C30" s="12" t="n">
        <x:v>0</x:v>
      </x:c>
      <x:c r="D30" s="12"/>
      <x:c r="E30" s="3" t="str">
        <x:v>Leg CCY</x:v>
      </x:c>
      <x:c r="F30" s="3" t="str">
        <x:v>I11 / Z</x:v>
      </x:c>
      <x:c r="G30" s="3" t="str">
        <x:v>Daily attribution field; does not establish the cause of the YTD bridge.</x:v>
      </x:c>
    </x:row>
    <x:row r="31" ht="43" customHeight="1">
      <x:c r="A31" s="3" t="str">
        <x:v>FX Effects (USD)</x:v>
      </x:c>
      <x:c r="B31" s="12" t="n">
        <x:v>0</x:v>
      </x:c>
      <x:c r="C31" s="12" t="n">
        <x:v>0</x:v>
      </x:c>
      <x:c r="D31" s="12"/>
      <x:c r="E31" s="3" t="str">
        <x:v>USD</x:v>
      </x:c>
      <x:c r="F31" s="3" t="str">
        <x:v>I11 / AA</x:v>
      </x:c>
      <x:c r="G31" s="3" t="str"/>
    </x:row>
    <x:row r="32" ht="43" customHeight="1">
      <x:c r="A32" s="3" t="str">
        <x:v>Carry</x:v>
      </x:c>
      <x:c r="B32" s="12" t="n">
        <x:v>-39696</x:v>
      </x:c>
      <x:c r="C32" s="12" t="n">
        <x:v>9251.92</x:v>
      </x:c>
      <x:c r="D32" s="12"/>
      <x:c r="E32" s="3" t="str">
        <x:v>Leg CCY</x:v>
      </x:c>
      <x:c r="F32" s="3" t="str">
        <x:v>I11 / AB</x:v>
      </x:c>
      <x:c r="G32" s="3" t="str"/>
    </x:row>
    <x:row r="33" ht="43" customHeight="1">
      <x:c r="A33" s="3" t="str">
        <x:v>Carry (USD)</x:v>
      </x:c>
      <x:c r="B33" s="15" t="n">
        <x:v>-5878.537474</x:v>
      </x:c>
      <x:c r="C33" s="15" t="n">
        <x:v>9251.92</x:v>
      </x:c>
      <x:c r="D33" s="15"/>
      <x:c r="E33" s="3" t="str">
        <x:v>USD</x:v>
      </x:c>
      <x:c r="F33" s="3" t="str">
        <x:v>I11 / AC</x:v>
      </x:c>
      <x:c r="G33" s="3" t="str"/>
    </x:row>
    <x:row r="34" ht="43" customHeight="1">
      <x:c r="A34" s="3" t="str">
        <x:v>Accounting PnL</x:v>
      </x:c>
      <x:c r="B34" s="12" t="n">
        <x:v>-179856</x:v>
      </x:c>
      <x:c r="C34" s="12" t="n">
        <x:v>9273.5972</x:v>
      </x:c>
      <x:c r="D34" s="12"/>
      <x:c r="E34" s="3" t="str">
        <x:v>Leg CCY</x:v>
      </x:c>
      <x:c r="F34" s="3" t="str">
        <x:v>I12 / AE</x:v>
      </x:c>
      <x:c r="G34" s="3" t="str">
        <x:v>USD accounting PnL differs from displayed day P&amp;L.</x:v>
      </x:c>
    </x:row>
    <x:row r="35" ht="43" customHeight="1">
      <x:c r="A35" s="3" t="str">
        <x:v>PD</x:v>
      </x:c>
      <x:c r="B35" s="12" t="n">
        <x:v>0</x:v>
      </x:c>
      <x:c r="C35" s="12" t="n">
        <x:v>0</x:v>
      </x:c>
      <x:c r="D35" s="12"/>
      <x:c r="E35" s="3" t="str">
        <x:v>Leg CCY</x:v>
      </x:c>
      <x:c r="F35" s="3" t="str">
        <x:v>I12 / AF</x:v>
      </x:c>
      <x:c r="G35" s="3" t="str"/>
    </x:row>
    <x:row r="36" ht="43" customHeight="1">
      <x:c r="A36" s="3" t="str">
        <x:v>PD (USD)</x:v>
      </x:c>
      <x:c r="B36" s="12" t="n">
        <x:v>0</x:v>
      </x:c>
      <x:c r="C36" s="12" t="n">
        <x:v>0</x:v>
      </x:c>
      <x:c r="D36" s="12"/>
      <x:c r="E36" s="3" t="str">
        <x:v>USD</x:v>
      </x:c>
      <x:c r="F36" s="3" t="str">
        <x:v>I12 / AG</x:v>
      </x:c>
      <x:c r="G36" s="3" t="str"/>
    </x:row>
    <x:row r="37" ht="43" customHeight="1">
      <x:c r="A37" s="3" t="str">
        <x:v>DailyPnL + Cash</x:v>
      </x:c>
      <x:c r="B37" s="12" t="n">
        <x:v>-179856</x:v>
      </x:c>
      <x:c r="C37" s="12" t="n">
        <x:v>9360.25</x:v>
      </x:c>
      <x:c r="D37" s="12"/>
      <x:c r="E37" s="3" t="str">
        <x:v>Leg CCY</x:v>
      </x:c>
      <x:c r="F37" s="3" t="str">
        <x:v>I12 / AH</x:v>
      </x:c>
      <x:c r="G37" s="3" t="str"/>
    </x:row>
    <x:row r="38" ht="43" customHeight="1">
      <x:c r="A38" s="3" t="str">
        <x:v>DailyPnL + Cash (USD)</x:v>
      </x:c>
      <x:c r="B38" s="12" t="n">
        <x:v>-26634.67946</x:v>
      </x:c>
      <x:c r="C38" s="12" t="n">
        <x:v>9360.25</x:v>
      </x:c>
      <x:c r="D38" s="12"/>
      <x:c r="E38" s="3" t="str">
        <x:v>USD</x:v>
      </x:c>
      <x:c r="F38" s="3" t="str">
        <x:v>I13 / AM</x:v>
      </x:c>
      <x:c r="G38" s="3" t="str"/>
    </x:row>
    <x:row r="39" ht="43" customHeight="1">
      <x:c r="A39" s="3" t="str">
        <x:v>COF</x:v>
      </x:c>
      <x:c r="B39" s="12" t="n">
        <x:v>17332.6196</x:v>
      </x:c>
      <x:c r="C39" s="12" t="n">
        <x:v>-7939.2389</x:v>
      </x:c>
      <x:c r="D39" s="12"/>
      <x:c r="E39" s="3" t="str">
        <x:v>Leg CCY</x:v>
      </x:c>
      <x:c r="F39" s="3" t="str">
        <x:v>I13 / AN</x:v>
      </x:c>
      <x:c r="G39" s="3" t="str">
        <x:v>COF is shown separately from headline YTD.</x:v>
      </x:c>
    </x:row>
    <x:row r="40" ht="43" customHeight="1">
      <x:c r="A40" s="3" t="str">
        <x:v>COF (USD)</x:v>
      </x:c>
      <x:c r="B40" s="12" t="n">
        <x:v>2566.7688</x:v>
      </x:c>
      <x:c r="C40" s="12" t="n">
        <x:v>-7939.2389</x:v>
      </x:c>
      <x:c r="D40" s="12"/>
      <x:c r="E40" s="3" t="str">
        <x:v>USD</x:v>
      </x:c>
      <x:c r="F40" s="3" t="str">
        <x:v>I13 / AO</x:v>
      </x:c>
      <x:c r="G40" s="3" t="str"/>
    </x:row>
    <x:row r="41" ht="43" customHeight="1">
      <x:c r="A41" s="3" t="str">
        <x:v>DailyPnL + Cash + COF + PD (USD)</x:v>
      </x:c>
      <x:c r="B41" s="12" t="n">
        <x:v>-24067.91066</x:v>
      </x:c>
      <x:c r="C41" s="12" t="n">
        <x:v>1421.0111</x:v>
      </x:c>
      <x:c r="D41" s="12"/>
      <x:c r="E41" s="3" t="str">
        <x:v>USD</x:v>
      </x:c>
      <x:c r="F41" s="3" t="str">
        <x:v>I13 / AP</x:v>
      </x:c>
      <x:c r="G41" s="3" t="str">
        <x:v>No corresponding swap COF is supplied.</x:v>
      </x:c>
    </x:row>
    <x:row r="42" ht="43" customHeight="1">
      <x:c r="A42" s="3" t="str">
        <x:v>USD YTD Profit and Loss (other report)</x:v>
      </x:c>
      <x:c r="B42" s="15" t="n">
        <x:v>-77864956.49</x:v>
      </x:c>
      <x:c r="C42" s="15" t="n">
        <x:v>78090874.3</x:v>
      </x:c>
      <x:c r="D42" s="15"/>
      <x:c r="E42" s="3" t="str">
        <x:v>USD</x:v>
      </x:c>
      <x:c r="F42" s="3" t="str">
        <x:v>I13 / AR</x:v>
      </x:c>
      <x:c r="G42" s="3" t="str">
        <x:v>CNY row differs by USD 0.03 from I09.</x:v>
      </x:c>
    </x:row>
    <x:row r="43" ht="43" customHeight="1">
      <x:c r="A43" s="3" t="str">
        <x:v>Residual PnL</x:v>
      </x:c>
      <x:c r="B43" s="12" t="n">
        <x:v>11762.19</x:v>
      </x:c>
      <x:c r="C43" s="12" t="n">
        <x:v>108.33</x:v>
      </x:c>
      <x:c r="D43" s="12"/>
      <x:c r="E43" s="3" t="str">
        <x:v>Leg CCY</x:v>
      </x:c>
      <x:c r="F43" s="3" t="str">
        <x:v>I14 / AU</x:v>
      </x:c>
      <x:c r="G43" s="3" t="str"/>
    </x:row>
    <x:row r="44" ht="43" customHeight="1">
      <x:c r="A44" s="3" t="str">
        <x:v>Residual PnL (USD)</x:v>
      </x:c>
      <x:c r="B44" s="15" t="n">
        <x:v>1741.85</x:v>
      </x:c>
      <x:c r="C44" s="15" t="n">
        <x:v>108.33</x:v>
      </x:c>
      <x:c r="D44" s="15"/>
      <x:c r="E44" s="3" t="str">
        <x:v>USD</x:v>
      </x:c>
      <x:c r="F44" s="3" t="str">
        <x:v>I14 / AV</x:v>
      </x:c>
      <x:c r="G44" s="3" t="str"/>
    </x:row>
    <x:row r="45" ht="43" customHeight="1">
      <x:c r="A45" s="3" t="str">
        <x:v>Today AI_PREMIUM - Previous</x:v>
      </x:c>
      <x:c r="B45" s="12" t="n">
        <x:v>0</x:v>
      </x:c>
      <x:c r="C45" s="12" t="n">
        <x:v>9360.25</x:v>
      </x:c>
      <x:c r="D45" s="12"/>
      <x:c r="E45" s="3" t="str">
        <x:v>USD</x:v>
      </x:c>
      <x:c r="F45" s="3" t="str">
        <x:v>I14 / AW</x:v>
      </x:c>
      <x:c r="G45" s="3" t="str"/>
    </x:row>
    <x:row r="46" ht="43" customHeight="1">
      <x:c r="A46" s="3" t="str">
        <x:v>Today AI_TR - Previous</x:v>
      </x:c>
      <x:c r="B46" s="12" t="n">
        <x:v>-39696</x:v>
      </x:c>
      <x:c r="C46" s="12" t="n">
        <x:v>0</x:v>
      </x:c>
      <x:c r="D46" s="12"/>
      <x:c r="E46" s="3" t="str">
        <x:v>CNY</x:v>
      </x:c>
      <x:c r="F46" s="3" t="str">
        <x:v>I14 / AX</x:v>
      </x:c>
      <x:c r="G46" s="3" t="str">
        <x:v>Matches five-decimal per-100 coupon-accrual rounding.</x:v>
      </x:c>
    </x:row>
    <x:row r="47" ht="43" customHeight="1">
      <x:c r="A47" s="3" t="str">
        <x:v>Today PRICE_TR - Previous</x:v>
      </x:c>
      <x:c r="B47" s="12" t="n">
        <x:v>-140160</x:v>
      </x:c>
      <x:c r="C47" s="12" t="n">
        <x:v>-140160</x:v>
      </x:c>
      <x:c r="D47" s="12"/>
      <x:c r="E47" s="3" t="str">
        <x:v>CNY</x:v>
      </x:c>
      <x:c r="F47" s="3" t="str">
        <x:v>I14 / AY</x:v>
      </x:c>
      <x:c r="G47" s="3" t="str">
        <x:v>Displayed on both trade-currency rows.</x:v>
      </x:c>
    </x:row>
    <x:row r="48" ht="43" customHeight="1">
      <x:c r="A48" s="3" t="str">
        <x:v>Today Bond Price (ratio)</x:v>
      </x:c>
      <x:c r="B48" s="13" t="n">
        <x:v>1.085758</x:v>
      </x:c>
      <x:c r="C48" s="13" t="n">
        <x:v>1.085758</x:v>
      </x:c>
      <x:c r="D48" s="12"/>
      <x:c r="E48" s="3" t="str">
        <x:v>Price / 100</x:v>
      </x:c>
      <x:c r="F48" s="3" t="str">
        <x:v>I16 / BM</x:v>
      </x:c>
      <x:c r="G48" s="3" t="str">
        <x:v>The user-editable input uses 108.5758 per 100.</x:v>
      </x:c>
    </x:row>
    <x:row r="49" ht="43" customHeight="1">
      <x:c r="A49" s="3" t="str">
        <x:v>Today FX (attribution field)</x:v>
      </x:c>
      <x:c r="B49" s="12" t="n">
        <x:v>1</x:v>
      </x:c>
      <x:c r="C49" s="12" t="n">
        <x:v>1</x:v>
      </x:c>
      <x:c r="D49" s="12"/>
      <x:c r="E49" s="3" t="str">
        <x:v>Source field</x:v>
      </x:c>
      <x:c r="F49" s="3" t="str">
        <x:v>I16 / BN</x:v>
      </x:c>
      <x:c r="G49" s="3" t="str">
        <x:v>This is not the CNY per USD reporting rate; do not use it for CNY-to-USD translation.</x:v>
      </x:c>
    </x:row>
    <x:row r="50" ht="43" customHeight="1">
      <x:c r="A50" s="3" t="str">
        <x:v>Yesterday Bond Price (ratio)</x:v>
      </x:c>
      <x:c r="B50" s="13" t="n">
        <x:v>1.085466</x:v>
      </x:c>
      <x:c r="C50" s="13" t="n">
        <x:v>1.085466</x:v>
      </x:c>
      <x:c r="D50" s="12"/>
      <x:c r="E50" s="3" t="str">
        <x:v>Price / 100</x:v>
      </x:c>
      <x:c r="F50" s="3" t="str">
        <x:v>I16 / BO</x:v>
      </x:c>
      <x:c r="G50" s="3" t="str"/>
    </x:row>
    <x:row r="51" ht="43" customHeight="1">
      <x:c r="A51" s="3" t="str">
        <x:v>Yesterday FX (attribution field)</x:v>
      </x:c>
      <x:c r="B51" s="12" t="n">
        <x:v>1</x:v>
      </x:c>
      <x:c r="C51" s="12" t="n">
        <x:v>1</x:v>
      </x:c>
      <x:c r="D51" s="12"/>
      <x:c r="E51" s="3" t="str">
        <x:v>Source field</x:v>
      </x:c>
      <x:c r="F51" s="3" t="str">
        <x:v>I16 / BP</x:v>
      </x:c>
      <x:c r="G51" s="3" t="str"/>
    </x:row>
    <x:row r="52" ht="43" customHeight="1">
      <x:c r="A52" s="3" t="str">
        <x:v>Price Change</x:v>
      </x:c>
      <x:c r="B52" s="12" t="n">
        <x:v>140160</x:v>
      </x:c>
      <x:c r="C52" s="12" t="n">
        <x:v>140160</x:v>
      </x:c>
      <x:c r="D52" s="12"/>
      <x:c r="E52" s="3" t="str">
        <x:v>CNY magnitude</x:v>
      </x:c>
      <x:c r="F52" s="3" t="str">
        <x:v>I16 / BQ</x:v>
      </x:c>
      <x:c r="G52" s="3" t="str"/>
    </x:row>
    <x:row r="53" ht="43" customHeight="1">
      <x:c r="A53" s="3" t="str">
        <x:v>USD Month COF</x:v>
      </x:c>
      <x:c r="B53" s="15" t="n">
        <x:v>8339.1735</x:v>
      </x:c>
      <x:c r="C53" s="15" t="n">
        <x:v>-31689.0328</x:v>
      </x:c>
      <x:c r="D53" s="15"/>
      <x:c r="E53" s="3" t="str">
        <x:v>USD</x:v>
      </x:c>
      <x:c r="F53" s="3" t="str">
        <x:v>I16 / BR</x:v>
      </x:c>
      <x:c r="G53" s="3" t="str"/>
    </x:row>
    <x:row r="54" ht="43" customHeight="1">
      <x:c r="A54" s="3" t="str">
        <x:v>USD YTD COF</x:v>
      </x:c>
      <x:c r="B54" s="15" t="n">
        <x:v>126364.434</x:v>
      </x:c>
      <x:c r="C54" s="15" t="n">
        <x:v>-446770.4491</x:v>
      </x:c>
      <x:c r="D54" s="15"/>
      <x:c r="E54" s="3" t="str">
        <x:v>USD</x:v>
      </x:c>
      <x:c r="F54" s="3" t="str">
        <x:v>I17 / BS</x:v>
      </x:c>
      <x:c r="G54" s="3" t="str">
        <x:v>Known TRS COF only. No swap COF figure is provided.</x:v>
      </x:c>
    </x:row>
    <x:row r="55" ht="43" customHeight="1">
      <x:c r="A55" s="3" t="str">
        <x:v>BVAL T04pm_4Aug</x:v>
      </x:c>
      <x:c r="B55" s="14" t="n">
        <x:v>108.574</x:v>
      </x:c>
      <x:c r="C55" s="12"/>
      <x:c r="D55" s="12"/>
      <x:c r="E55" s="3" t="str">
        <x:v>Price / 100</x:v>
      </x:c>
      <x:c r="F55" s="3" t="str">
        <x:v>I18 / C</x:v>
      </x:c>
      <x:c r="G55" s="3" t="str">
        <x:v>Alternative vendor timestamp; not the requested EOD input.</x:v>
      </x:c>
    </x:row>
    <x:row r="56" ht="43" customHeight="1">
      <x:c r="A56" s="3" t="str">
        <x:v>BVAL L04:15pm_3Aug</x:v>
      </x:c>
      <x:c r="B56" s="14" t="n">
        <x:v>108.556</x:v>
      </x:c>
      <x:c r="C56" s="12"/>
      <x:c r="D56" s="12"/>
      <x:c r="E56" s="3" t="str">
        <x:v>Price / 100</x:v>
      </x:c>
      <x:c r="F56" s="3" t="str">
        <x:v>I18 / D</x:v>
      </x:c>
      <x:c r="G56" s="3" t="str"/>
    </x:row>
    <x:row r="57" ht="43" customHeight="1">
      <x:c r="A57" s="3" t="str">
        <x:v>BVAL L04:15pm_4Aug</x:v>
      </x:c>
      <x:c r="B57" s="14" t="n">
        <x:v>108.588</x:v>
      </x:c>
      <x:c r="C57" s="12"/>
      <x:c r="D57" s="12"/>
      <x:c r="E57" s="3" t="str">
        <x:v>Price / 100</x:v>
      </x:c>
      <x:c r="F57" s="3" t="str">
        <x:v>I18 / E</x:v>
      </x:c>
      <x:c r="G57" s="3" t="str"/>
    </x:row>
    <x:row r="58" ht="43" customHeight="1">
      <x:c r="A58" s="3" t="str">
        <x:v>CS01</x:v>
      </x:c>
      <x:c r="B58" s="12" t="n">
        <x:v>-333198.49</x:v>
      </x:c>
      <x:c r="C58" s="12" t="n">
        <x:v>0</x:v>
      </x:c>
      <x:c r="D58" s="12" t="n">
        <x:v>0</x:v>
      </x:c>
      <x:c r="E58" s="3" t="str">
        <x:v>Source units</x:v>
      </x:c>
      <x:c r="F58" s="3" t="str">
        <x:v>I05 / R</x:v>
      </x:c>
      <x:c r="G58" s="3" t="str">
        <x:v>Not used to reprice the bond; the exact clean-price formula is used.</x:v>
      </x:c>
    </x:row>
    <x:row r="59" ht="43" customHeight="1">
      <x:c r="A59" s="3" t="str">
        <x:v>Reported Notional</x:v>
      </x:c>
      <x:c r="B59" s="12" t="n">
        <x:v>-480000000</x:v>
      </x:c>
      <x:c r="C59" s="12" t="n">
        <x:v>77586204.08</x:v>
      </x:c>
      <x:c r="D59" s="12" t="n">
        <x:v>77586204.08</x:v>
      </x:c>
      <x:c r="E59" s="3" t="str">
        <x:v>Leg CCY</x:v>
      </x:c>
      <x:c r="F59" s="3" t="str">
        <x:v>I05 / T</x:v>
      </x:c>
      <x:c r="G59" s="3" t="str"/>
    </x:row>
    <x:row r="60" ht="43" customHeight="1">
      <x:c r="A60" s="3" t="str">
        <x:v>WAL</x:v>
      </x:c>
      <x:c r="B60" s="12" t="n">
        <x:v>-480000000</x:v>
      </x:c>
      <x:c r="C60" s="12" t="n">
        <x:v>-480000000</x:v>
      </x:c>
      <x:c r="D60" s="12" t="n">
        <x:v>0</x:v>
      </x:c>
      <x:c r="E60" s="3" t="str">
        <x:v>Source field</x:v>
      </x:c>
      <x:c r="F60" s="3" t="str">
        <x:v>I09 / CM</x:v>
      </x:c>
      <x:c r="G60" s="3" t="str">
        <x:v>Retained as displayed; not interpreted as a tenor.</x:v>
      </x:c>
    </x:row>
    <x:row r="61" ht="43" customHeight="1">
      <x:c r="A61" s="3" t="str">
        <x:v>OBS_Notional</x:v>
      </x:c>
      <x:c r="B61" s="12" t="n">
        <x:v>0</x:v>
      </x:c>
      <x:c r="C61" s="12" t="n">
        <x:v>0</x:v>
      </x:c>
      <x:c r="D61" s="12" t="n">
        <x:v>77586204.08</x:v>
      </x:c>
      <x:c r="E61" s="3" t="str">
        <x:v>Source field</x:v>
      </x:c>
      <x:c r="F61" s="3" t="str">
        <x:v>I09 / CO</x:v>
      </x:c>
      <x:c r="G61" s="3" t="str"/>
    </x:row>
    <x:row r="62" ht="23" customHeight="1">
      <x:c r="A62" s="2"/>
      <x:c r="B62" s="2"/>
      <x:c r="C62" s="2"/>
      <x:c r="D62" s="2"/>
      <x:c r="E62" s="2"/>
      <x:c r="F62" s="2"/>
      <x:c r="G62" s="2"/>
    </x:row>
    <x:row r="63" ht="23" customHeight="1">
      <x:c r="A63" s="2"/>
      <x:c r="B63" s="2"/>
      <x:c r="C63" s="2"/>
      <x:c r="D63" s="2"/>
      <x:c r="E63" s="2"/>
      <x:c r="F63" s="2"/>
      <x:c r="G63" s="2"/>
    </x:row>
    <x:row r="64" ht="23" customHeight="1">
      <x:c r="A64" s="2"/>
      <x:c r="B64" s="2"/>
      <x:c r="C64" s="2"/>
      <x:c r="D64" s="2"/>
      <x:c r="E64" s="2"/>
      <x:c r="F64" s="2"/>
      <x:c r="G64" s="2"/>
    </x:row>
  </x:sheetData>
  <x:mergeCells>
    <x:mergeCell ref="A1:G1"/>
    <x:mergeCell ref="A2:G2"/>
  </x:mergeCells>
  <x:pageMargins left="0.7" right="0.7" top="0.75" bottom="0.75" header="0.3" footer="0.3"/>
  <x:legacyDrawing xmlns:r="http://schemas.openxmlformats.org/officeDocument/2006/relationships" r:id="R1cef0592909a470f"/>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3" hidden="0" customWidth="1"/>
    <x:col min="4" max="4" width="20" hidden="0" customWidth="1"/>
    <x:col min="5" max="5" width="16" hidden="0" customWidth="1"/>
    <x:col min="6" max="6" width="17" hidden="0" customWidth="1"/>
    <x:col min="7" max="7" width="23" hidden="0" customWidth="1"/>
    <x:col min="8" max="8" width="23" hidden="0" customWidth="1"/>
    <x:col min="9" max="9" width="23" hidden="0" customWidth="1"/>
    <x:col min="10" max="10" width="20" hidden="0" customWidth="1"/>
    <x:col min="11" max="11" width="21" hidden="0" customWidth="1"/>
  </x:cols>
  <x:sheetData>
    <x:row r="1" ht="39" customHeight="1">
      <x:c r="A1" s="5" t="str">
        <x:v>FUNDING DETAIL | OPTIONAL DAILY SOFR INPUTS</x:v>
      </x:c>
      <x:c r="B1" s="5" t="str">
        <x:v>FUNDING DETAIL | OPTIONAL DAILY SOFR INPUTS</x:v>
      </x:c>
      <x:c r="C1" s="5" t="str">
        <x:v>FUNDING DETAIL | OPTIONAL DAILY SOFR INPUTS</x:v>
      </x:c>
      <x:c r="D1" s="5" t="str">
        <x:v>FUNDING DETAIL | OPTIONAL DAILY SOFR INPUTS</x:v>
      </x:c>
      <x:c r="E1" s="5" t="str">
        <x:v>FUNDING DETAIL | OPTIONAL DAILY SOFR INPUTS</x:v>
      </x:c>
      <x:c r="F1" s="5" t="str">
        <x:v>FUNDING DETAIL | OPTIONAL DAILY SOFR INPUTS</x:v>
      </x:c>
      <x:c r="G1" s="5" t="str">
        <x:v>FUNDING DETAIL | OPTIONAL DAILY SOFR INPUTS</x:v>
      </x:c>
      <x:c r="H1" s="5" t="str">
        <x:v>FUNDING DETAIL | OPTIONAL DAILY SOFR INPUTS</x:v>
      </x:c>
      <x:c r="I1" s="5" t="str">
        <x:v>FUNDING DETAIL | OPTIONAL DAILY SOFR INPUTS</x:v>
      </x:c>
      <x:c r="J1" s="5" t="str">
        <x:v>FUNDING DETAIL | OPTIONAL DAILY SOFR INPUTS</x:v>
      </x:c>
      <x:c r="K1" s="5" t="str">
        <x:v>FUNDING DETAIL | OPTIONAL DAILY SOFR INPUTS</x:v>
      </x:c>
    </x:row>
    <x:row r="2" ht="43" customHeight="1">
      <x:c r="A2" s="6" t="str">
        <x:v>All fixing cells are blank because no fixing history was supplied. Enter the applicable rate for every accrual day, including the proper weekend/holiday carry, and confirm the contractual observation rules.</x:v>
      </x:c>
      <x:c r="B2" s="3" t="str">
        <x:v>All fixing cells are blank because no fixing history was supplied. Enter the applicable rate for every accrual day, including the proper weekend/holiday carry, and confirm the contractual observation rules.</x:v>
      </x:c>
      <x:c r="C2" s="3" t="str">
        <x:v>All fixing cells are blank because no fixing history was supplied. Enter the applicable rate for every accrual day, including the proper weekend/holiday carry, and confirm the contractual observation rules.</x:v>
      </x:c>
      <x:c r="D2" s="3" t="str">
        <x:v>All fixing cells are blank because no fixing history was supplied. Enter the applicable rate for every accrual day, including the proper weekend/holiday carry, and confirm the contractual observation rules.</x:v>
      </x:c>
      <x:c r="E2" s="3" t="str">
        <x:v>All fixing cells are blank because no fixing history was supplied. Enter the applicable rate for every accrual day, including the proper weekend/holiday carry, and confirm the contractual observation rules.</x:v>
      </x:c>
      <x:c r="F2" s="3" t="str">
        <x:v>All fixing cells are blank because no fixing history was supplied. Enter the applicable rate for every accrual day, including the proper weekend/holiday carry, and confirm the contractual observation rules.</x:v>
      </x:c>
      <x:c r="G2" s="3" t="str">
        <x:v>All fixing cells are blank because no fixing history was supplied. Enter the applicable rate for every accrual day, including the proper weekend/holiday carry, and confirm the contractual observation rules.</x:v>
      </x:c>
      <x:c r="H2" s="3" t="str">
        <x:v>All fixing cells are blank because no fixing history was supplied. Enter the applicable rate for every accrual day, including the proper weekend/holiday carry, and confirm the contractual observation rules.</x:v>
      </x:c>
      <x:c r="I2" s="3" t="str">
        <x:v>All fixing cells are blank because no fixing history was supplied. Enter the applicable rate for every accrual day, including the proper weekend/holiday carry, and confirm the contractual observation rules.</x:v>
      </x:c>
      <x:c r="J2" s="3" t="str">
        <x:v>All fixing cells are blank because no fixing history was supplied. Enter the applicable rate for every accrual day, including the proper weekend/holiday carry, and confirm the contractual observation rules.</x:v>
      </x:c>
      <x:c r="K2" s="3" t="str">
        <x:v>All fixing cells are blank because no fixing history was supplied. Enter the applicable rate for every accrual day, including the proper weekend/holiday carry, and confirm the contractual observation rules.</x:v>
      </x:c>
    </x:row>
    <x:row r="3" ht="23" customHeight="1">
      <x:c r="A3" s="2"/>
      <x:c r="B3" s="2"/>
      <x:c r="C3" s="2"/>
      <x:c r="D3" s="2"/>
      <x:c r="E3" s="2"/>
      <x:c r="F3" s="2"/>
      <x:c r="G3" s="2"/>
      <x:c r="H3" s="2"/>
      <x:c r="I3" s="2"/>
      <x:c r="J3" s="2"/>
      <x:c r="K3" s="2"/>
    </x:row>
    <x:row r="4" ht="23" customHeight="1">
      <x:c r="A4" s="2" t="str">
        <x:v>Convention</x:v>
      </x:c>
      <x:c r="B4" s="87" t="str">
        <x:f>'Inputs'!$B$53</x:f>
        <x:v>Unconfirmed</x:v>
      </x:c>
      <x:c r="C4" s="2"/>
      <x:c r="D4" s="2" t="str">
        <x:v>Required days</x:v>
      </x:c>
      <x:c r="E4" s="85" t="n">
        <x:f>'Inputs'!$B$56-'Inputs'!$B$55</x:f>
        <x:v>55</x:v>
      </x:c>
      <x:c r="F4" s="2"/>
      <x:c r="G4" s="2" t="str">
        <x:v>Rates entered</x:v>
      </x:c>
      <x:c r="H4" s="40" t="n">
        <x:f>COUNT(D11:D65)</x:f>
        <x:v>0</x:v>
      </x:c>
      <x:c r="I4" s="2"/>
      <x:c r="J4" s="2"/>
      <x:c r="K4" s="2"/>
    </x:row>
    <x:row r="5" ht="42" customHeight="1">
      <x:c r="A5" s="2" t="str">
        <x:v>Readiness</x:v>
      </x:c>
      <x:c r="B5" s="88" t="str">
        <x:f>IF(AND(H4=E4,E4=ROWS(D11:D65),B4&lt;&gt;"Unconfirmed"),"READY","MISSING INPUTS")</x:f>
        <x:v>MISSING INPUTS</x:v>
      </x:c>
      <x:c r="C5" s="2"/>
      <x:c r="D5" s="3" t="str">
        <x:v>The 55-day scaffold follows the report-implied cut-off. It is not evidence that the TRS uses that cut-off. Confirm date lag and rate method before relying on this result.</x:v>
      </x:c>
      <x:c r="E5" s="3" t="str">
        <x:v>The 55-day scaffold follows the report-implied cut-off. It is not evidence that the TRS uses that cut-off. Confirm date lag and rate method before relying on this result.</x:v>
      </x:c>
      <x:c r="F5" s="3" t="str">
        <x:v>The 55-day scaffold follows the report-implied cut-off. It is not evidence that the TRS uses that cut-off. Confirm date lag and rate method before relying on this result.</x:v>
      </x:c>
      <x:c r="G5" s="3" t="str">
        <x:v>The 55-day scaffold follows the report-implied cut-off. It is not evidence that the TRS uses that cut-off. Confirm date lag and rate method before relying on this result.</x:v>
      </x:c>
      <x:c r="H5" s="3" t="str">
        <x:v>The 55-day scaffold follows the report-implied cut-off. It is not evidence that the TRS uses that cut-off. Confirm date lag and rate method before relying on this result.</x:v>
      </x:c>
      <x:c r="I5" s="3" t="str">
        <x:v>The 55-day scaffold follows the report-implied cut-off. It is not evidence that the TRS uses that cut-off. Confirm date lag and rate method before relying on this result.</x:v>
      </x:c>
      <x:c r="J5" s="3" t="str">
        <x:v>The 55-day scaffold follows the report-implied cut-off. It is not evidence that the TRS uses that cut-off. Confirm date lag and rate method before relying on this result.</x:v>
      </x:c>
      <x:c r="K5" s="3" t="str">
        <x:v>The 55-day scaffold follows the report-implied cut-off. It is not evidence that the TRS uses that cut-off. Confirm date lag and rate method before relying on this result.</x:v>
      </x:c>
    </x:row>
    <x:row r="6" ht="23" customHeight="1">
      <x:c r="A6" s="2"/>
      <x:c r="B6" s="2"/>
      <x:c r="C6" s="2"/>
      <x:c r="D6" s="2"/>
      <x:c r="E6" s="2"/>
      <x:c r="F6" s="2"/>
      <x:c r="G6" s="2"/>
      <x:c r="H6" s="2"/>
      <x:c r="I6" s="2"/>
      <x:c r="J6" s="2"/>
      <x:c r="K6" s="2"/>
    </x:row>
    <x:row r="7" ht="23" customHeight="1">
      <x:c r="A7" s="2" t="str">
        <x:v>Funding AI (USD)</x:v>
      </x:c>
      <x:c r="B7" s="39" t="str">
        <x:f>IF(B5="READY",IF(B4="Simple average",SUM(I11:I65),'Inputs'!$B$8*(PRODUCT(J11:J65)-'Inputs'!$B$33)+SUM(H11:H65)),"")</x:f>
      </x:c>
      <x:c r="C7" s="2"/>
      <x:c r="D7" s="2" t="str">
        <x:v>Less reported AI</x:v>
      </x:c>
      <x:c r="E7" s="39" t="str">
        <x:f>IF(ISNUMBER(B7),B7-'Inputs'!$B$46,"")</x:f>
      </x:c>
      <x:c r="F7" s="2"/>
      <x:c r="G7" s="2"/>
      <x:c r="H7" s="2"/>
      <x:c r="I7" s="2"/>
      <x:c r="J7" s="2"/>
      <x:c r="K7" s="2"/>
    </x:row>
    <x:row r="8" ht="23" customHeight="1">
      <x:c r="A8" s="2"/>
      <x:c r="B8" s="2"/>
      <x:c r="C8" s="2"/>
      <x:c r="D8" s="2"/>
      <x:c r="E8" s="2"/>
      <x:c r="F8" s="2"/>
      <x:c r="G8" s="2"/>
      <x:c r="H8" s="2"/>
      <x:c r="I8" s="2"/>
      <x:c r="J8" s="2"/>
      <x:c r="K8" s="2"/>
    </x:row>
    <x:row r="9" ht="23" customHeight="1">
      <x:c r="A9" s="2"/>
      <x:c r="B9" s="2"/>
      <x:c r="C9" s="2"/>
      <x:c r="D9" s="2"/>
      <x:c r="E9" s="2"/>
      <x:c r="F9" s="2"/>
      <x:c r="G9" s="2"/>
      <x:c r="H9" s="2"/>
      <x:c r="I9" s="2"/>
      <x:c r="J9" s="2"/>
      <x:c r="K9" s="2"/>
    </x:row>
    <x:row r="10" ht="34" customHeight="1">
      <x:c r="A10" s="9" t="str">
        <x:v>Accrual start</x:v>
      </x:c>
      <x:c r="B10" s="9" t="str">
        <x:v>Accrual end</x:v>
      </x:c>
      <x:c r="C10" s="9" t="str">
        <x:v>Days</x:v>
      </x:c>
      <x:c r="D10" s="9" t="str">
        <x:v>SOFR fixing</x:v>
      </x:c>
      <x:c r="E10" s="9" t="str">
        <x:v>Spread, bp</x:v>
      </x:c>
      <x:c r="F10" s="9" t="str">
        <x:v>Year fraction</x:v>
      </x:c>
      <x:c r="G10" s="9" t="str">
        <x:v>Simple SOFR USD</x:v>
      </x:c>
      <x:c r="H10" s="9" t="str">
        <x:v>Spread USD</x:v>
      </x:c>
      <x:c r="I10" s="9" t="str">
        <x:v>Simple total USD</x:v>
      </x:c>
      <x:c r="J10" s="9" t="str">
        <x:v>Daily factor</x:v>
      </x:c>
      <x:c r="K10" s="9" t="str">
        <x:v>Cumulative factor</x:v>
      </x:c>
    </x:row>
    <x:row r="11" ht="23" customHeight="1">
      <x:c r="A11" s="89" t="n">
        <x:f>'Inputs'!$B$55</x:f>
        <x:v>46184</x:v>
      </x:c>
      <x:c r="B11" s="89" t="n">
        <x:f>A11+'Inputs'!$B$33</x:f>
        <x:v>46185</x:v>
      </x:c>
      <x:c r="C11" s="85" t="n">
        <x:f>MAX('Inputs'!$B$32,MIN(B11,'Inputs'!$B$56)-MAX(A11,'Inputs'!$B$55))</x:f>
        <x:v>1</x:v>
      </x:c>
      <x:c r="D11" s="29"/>
      <x:c r="E11" s="90" t="n">
        <x:f>'Inputs'!$B$9</x:f>
        <x:v>62.3</x:v>
      </x:c>
      <x:c r="F11" s="92" t="n">
        <x:f>C11/'Inputs'!$B$27</x:f>
        <x:v>0.002777777777777778</x:v>
      </x:c>
      <x:c r="G11" s="39" t="str">
        <x:f>IF(ISNUMBER(D11),'Inputs'!$B$8*D11*F11,"")</x:f>
      </x:c>
      <x:c r="H11" s="39" t="n">
        <x:f>'Inputs'!$B$8*E11/'Inputs'!$B$26*F11</x:f>
        <x:v>1342.6723650511112</x:v>
      </x:c>
      <x:c r="I11" s="48" t="str">
        <x:f>IF(ISNUMBER(G11),G11+H11,"")</x:f>
      </x:c>
      <x:c r="J11" s="94" t="str">
        <x:f>IF(ISNUMBER(D11),'Inputs'!$B$33+D11*F11,"")</x:f>
      </x:c>
      <x:c r="K11" s="95" t="str">
        <x:f>IF(ISNUMBER(J11),J11,"")</x:f>
      </x:c>
    </x:row>
    <x:row r="12" ht="23" customHeight="1">
      <x:c r="A12" s="44" t="n">
        <x:f>B11</x:f>
        <x:v>46185</x:v>
      </x:c>
      <x:c r="B12" s="89" t="n">
        <x:f>A12+'Inputs'!$B$33</x:f>
        <x:v>46186</x:v>
      </x:c>
      <x:c r="C12" s="85" t="n">
        <x:f>MAX('Inputs'!$B$32,MIN(B12,'Inputs'!$B$56)-MAX(A12,'Inputs'!$B$55))</x:f>
        <x:v>1</x:v>
      </x:c>
      <x:c r="D12" s="29"/>
      <x:c r="E12" s="90" t="n">
        <x:f>'Inputs'!$B$9</x:f>
        <x:v>62.3</x:v>
      </x:c>
      <x:c r="F12" s="92" t="n">
        <x:f>C12/'Inputs'!$B$27</x:f>
        <x:v>0.002777777777777778</x:v>
      </x:c>
      <x:c r="G12" s="39" t="str">
        <x:f>IF(ISNUMBER(D12),'Inputs'!$B$8*D12*F12,"")</x:f>
      </x:c>
      <x:c r="H12" s="39" t="n">
        <x:f>'Inputs'!$B$8*E12/'Inputs'!$B$26*F12</x:f>
        <x:v>1342.6723650511112</x:v>
      </x:c>
      <x:c r="I12" s="48" t="str">
        <x:f>IF(ISNUMBER(G12),G12+H12,"")</x:f>
      </x:c>
      <x:c r="J12" s="94" t="str">
        <x:f>IF(ISNUMBER(D12),'Inputs'!$B$33+D12*F12,"")</x:f>
      </x:c>
      <x:c r="K12" s="95" t="str">
        <x:f>IF(AND(ISNUMBER(K11),ISNUMBER(J12)),K11*J12,"")</x:f>
      </x:c>
    </x:row>
    <x:row r="13" ht="23" customHeight="1">
      <x:c r="A13" s="44" t="n">
        <x:f>B12</x:f>
        <x:v>46186</x:v>
      </x:c>
      <x:c r="B13" s="89" t="n">
        <x:f>A13+'Inputs'!$B$33</x:f>
        <x:v>46187</x:v>
      </x:c>
      <x:c r="C13" s="85" t="n">
        <x:f>MAX('Inputs'!$B$32,MIN(B13,'Inputs'!$B$56)-MAX(A13,'Inputs'!$B$55))</x:f>
        <x:v>1</x:v>
      </x:c>
      <x:c r="D13" s="29"/>
      <x:c r="E13" s="90" t="n">
        <x:f>'Inputs'!$B$9</x:f>
        <x:v>62.3</x:v>
      </x:c>
      <x:c r="F13" s="92" t="n">
        <x:f>C13/'Inputs'!$B$27</x:f>
        <x:v>0.002777777777777778</x:v>
      </x:c>
      <x:c r="G13" s="39" t="str">
        <x:f>IF(ISNUMBER(D13),'Inputs'!$B$8*D13*F13,"")</x:f>
      </x:c>
      <x:c r="H13" s="39" t="n">
        <x:f>'Inputs'!$B$8*E13/'Inputs'!$B$26*F13</x:f>
        <x:v>1342.6723650511112</x:v>
      </x:c>
      <x:c r="I13" s="48" t="str">
        <x:f>IF(ISNUMBER(G13),G13+H13,"")</x:f>
      </x:c>
      <x:c r="J13" s="94" t="str">
        <x:f>IF(ISNUMBER(D13),'Inputs'!$B$33+D13*F13,"")</x:f>
      </x:c>
      <x:c r="K13" s="95" t="str">
        <x:f>IF(AND(ISNUMBER(K12),ISNUMBER(J13)),K12*J13,"")</x:f>
      </x:c>
    </x:row>
    <x:row r="14" ht="23" customHeight="1">
      <x:c r="A14" s="44" t="n">
        <x:f>B13</x:f>
        <x:v>46187</x:v>
      </x:c>
      <x:c r="B14" s="89" t="n">
        <x:f>A14+'Inputs'!$B$33</x:f>
        <x:v>46188</x:v>
      </x:c>
      <x:c r="C14" s="85" t="n">
        <x:f>MAX('Inputs'!$B$32,MIN(B14,'Inputs'!$B$56)-MAX(A14,'Inputs'!$B$55))</x:f>
        <x:v>1</x:v>
      </x:c>
      <x:c r="D14" s="29"/>
      <x:c r="E14" s="90" t="n">
        <x:f>'Inputs'!$B$9</x:f>
        <x:v>62.3</x:v>
      </x:c>
      <x:c r="F14" s="92" t="n">
        <x:f>C14/'Inputs'!$B$27</x:f>
        <x:v>0.002777777777777778</x:v>
      </x:c>
      <x:c r="G14" s="39" t="str">
        <x:f>IF(ISNUMBER(D14),'Inputs'!$B$8*D14*F14,"")</x:f>
      </x:c>
      <x:c r="H14" s="39" t="n">
        <x:f>'Inputs'!$B$8*E14/'Inputs'!$B$26*F14</x:f>
        <x:v>1342.6723650511112</x:v>
      </x:c>
      <x:c r="I14" s="48" t="str">
        <x:f>IF(ISNUMBER(G14),G14+H14,"")</x:f>
      </x:c>
      <x:c r="J14" s="94" t="str">
        <x:f>IF(ISNUMBER(D14),'Inputs'!$B$33+D14*F14,"")</x:f>
      </x:c>
      <x:c r="K14" s="95" t="str">
        <x:f>IF(AND(ISNUMBER(K13),ISNUMBER(J14)),K13*J14,"")</x:f>
      </x:c>
    </x:row>
    <x:row r="15" ht="23" customHeight="1">
      <x:c r="A15" s="44" t="n">
        <x:f>B14</x:f>
        <x:v>46188</x:v>
      </x:c>
      <x:c r="B15" s="89" t="n">
        <x:f>A15+'Inputs'!$B$33</x:f>
        <x:v>46189</x:v>
      </x:c>
      <x:c r="C15" s="85" t="n">
        <x:f>MAX('Inputs'!$B$32,MIN(B15,'Inputs'!$B$56)-MAX(A15,'Inputs'!$B$55))</x:f>
        <x:v>1</x:v>
      </x:c>
      <x:c r="D15" s="29"/>
      <x:c r="E15" s="90" t="n">
        <x:f>'Inputs'!$B$9</x:f>
        <x:v>62.3</x:v>
      </x:c>
      <x:c r="F15" s="92" t="n">
        <x:f>C15/'Inputs'!$B$27</x:f>
        <x:v>0.002777777777777778</x:v>
      </x:c>
      <x:c r="G15" s="39" t="str">
        <x:f>IF(ISNUMBER(D15),'Inputs'!$B$8*D15*F15,"")</x:f>
      </x:c>
      <x:c r="H15" s="39" t="n">
        <x:f>'Inputs'!$B$8*E15/'Inputs'!$B$26*F15</x:f>
        <x:v>1342.6723650511112</x:v>
      </x:c>
      <x:c r="I15" s="48" t="str">
        <x:f>IF(ISNUMBER(G15),G15+H15,"")</x:f>
      </x:c>
      <x:c r="J15" s="94" t="str">
        <x:f>IF(ISNUMBER(D15),'Inputs'!$B$33+D15*F15,"")</x:f>
      </x:c>
      <x:c r="K15" s="95" t="str">
        <x:f>IF(AND(ISNUMBER(K14),ISNUMBER(J15)),K14*J15,"")</x:f>
      </x:c>
    </x:row>
    <x:row r="16" ht="23" customHeight="1">
      <x:c r="A16" s="44" t="n">
        <x:f>B15</x:f>
        <x:v>46189</x:v>
      </x:c>
      <x:c r="B16" s="89" t="n">
        <x:f>A16+'Inputs'!$B$33</x:f>
        <x:v>46190</x:v>
      </x:c>
      <x:c r="C16" s="85" t="n">
        <x:f>MAX('Inputs'!$B$32,MIN(B16,'Inputs'!$B$56)-MAX(A16,'Inputs'!$B$55))</x:f>
        <x:v>1</x:v>
      </x:c>
      <x:c r="D16" s="29"/>
      <x:c r="E16" s="90" t="n">
        <x:f>'Inputs'!$B$9</x:f>
        <x:v>62.3</x:v>
      </x:c>
      <x:c r="F16" s="92" t="n">
        <x:f>C16/'Inputs'!$B$27</x:f>
        <x:v>0.002777777777777778</x:v>
      </x:c>
      <x:c r="G16" s="39" t="str">
        <x:f>IF(ISNUMBER(D16),'Inputs'!$B$8*D16*F16,"")</x:f>
      </x:c>
      <x:c r="H16" s="39" t="n">
        <x:f>'Inputs'!$B$8*E16/'Inputs'!$B$26*F16</x:f>
        <x:v>1342.6723650511112</x:v>
      </x:c>
      <x:c r="I16" s="48" t="str">
        <x:f>IF(ISNUMBER(G16),G16+H16,"")</x:f>
      </x:c>
      <x:c r="J16" s="94" t="str">
        <x:f>IF(ISNUMBER(D16),'Inputs'!$B$33+D16*F16,"")</x:f>
      </x:c>
      <x:c r="K16" s="95" t="str">
        <x:f>IF(AND(ISNUMBER(K15),ISNUMBER(J16)),K15*J16,"")</x:f>
      </x:c>
    </x:row>
    <x:row r="17" ht="23" customHeight="1">
      <x:c r="A17" s="44" t="n">
        <x:f>B16</x:f>
        <x:v>46190</x:v>
      </x:c>
      <x:c r="B17" s="89" t="n">
        <x:f>A17+'Inputs'!$B$33</x:f>
        <x:v>46191</x:v>
      </x:c>
      <x:c r="C17" s="85" t="n">
        <x:f>MAX('Inputs'!$B$32,MIN(B17,'Inputs'!$B$56)-MAX(A17,'Inputs'!$B$55))</x:f>
        <x:v>1</x:v>
      </x:c>
      <x:c r="D17" s="29"/>
      <x:c r="E17" s="90" t="n">
        <x:f>'Inputs'!$B$9</x:f>
        <x:v>62.3</x:v>
      </x:c>
      <x:c r="F17" s="92" t="n">
        <x:f>C17/'Inputs'!$B$27</x:f>
        <x:v>0.002777777777777778</x:v>
      </x:c>
      <x:c r="G17" s="39" t="str">
        <x:f>IF(ISNUMBER(D17),'Inputs'!$B$8*D17*F17,"")</x:f>
      </x:c>
      <x:c r="H17" s="39" t="n">
        <x:f>'Inputs'!$B$8*E17/'Inputs'!$B$26*F17</x:f>
        <x:v>1342.6723650511112</x:v>
      </x:c>
      <x:c r="I17" s="48" t="str">
        <x:f>IF(ISNUMBER(G17),G17+H17,"")</x:f>
      </x:c>
      <x:c r="J17" s="94" t="str">
        <x:f>IF(ISNUMBER(D17),'Inputs'!$B$33+D17*F17,"")</x:f>
      </x:c>
      <x:c r="K17" s="95" t="str">
        <x:f>IF(AND(ISNUMBER(K16),ISNUMBER(J17)),K16*J17,"")</x:f>
      </x:c>
    </x:row>
    <x:row r="18" ht="23" customHeight="1">
      <x:c r="A18" s="44" t="n">
        <x:f>B17</x:f>
        <x:v>46191</x:v>
      </x:c>
      <x:c r="B18" s="89" t="n">
        <x:f>A18+'Inputs'!$B$33</x:f>
        <x:v>46192</x:v>
      </x:c>
      <x:c r="C18" s="85" t="n">
        <x:f>MAX('Inputs'!$B$32,MIN(B18,'Inputs'!$B$56)-MAX(A18,'Inputs'!$B$55))</x:f>
        <x:v>1</x:v>
      </x:c>
      <x:c r="D18" s="29"/>
      <x:c r="E18" s="90" t="n">
        <x:f>'Inputs'!$B$9</x:f>
        <x:v>62.3</x:v>
      </x:c>
      <x:c r="F18" s="92" t="n">
        <x:f>C18/'Inputs'!$B$27</x:f>
        <x:v>0.002777777777777778</x:v>
      </x:c>
      <x:c r="G18" s="39" t="str">
        <x:f>IF(ISNUMBER(D18),'Inputs'!$B$8*D18*F18,"")</x:f>
      </x:c>
      <x:c r="H18" s="39" t="n">
        <x:f>'Inputs'!$B$8*E18/'Inputs'!$B$26*F18</x:f>
        <x:v>1342.6723650511112</x:v>
      </x:c>
      <x:c r="I18" s="48" t="str">
        <x:f>IF(ISNUMBER(G18),G18+H18,"")</x:f>
      </x:c>
      <x:c r="J18" s="94" t="str">
        <x:f>IF(ISNUMBER(D18),'Inputs'!$B$33+D18*F18,"")</x:f>
      </x:c>
      <x:c r="K18" s="95" t="str">
        <x:f>IF(AND(ISNUMBER(K17),ISNUMBER(J18)),K17*J18,"")</x:f>
      </x:c>
    </x:row>
    <x:row r="19" ht="23" customHeight="1">
      <x:c r="A19" s="44" t="n">
        <x:f>B18</x:f>
        <x:v>46192</x:v>
      </x:c>
      <x:c r="B19" s="89" t="n">
        <x:f>A19+'Inputs'!$B$33</x:f>
        <x:v>46193</x:v>
      </x:c>
      <x:c r="C19" s="85" t="n">
        <x:f>MAX('Inputs'!$B$32,MIN(B19,'Inputs'!$B$56)-MAX(A19,'Inputs'!$B$55))</x:f>
        <x:v>1</x:v>
      </x:c>
      <x:c r="D19" s="29"/>
      <x:c r="E19" s="90" t="n">
        <x:f>'Inputs'!$B$9</x:f>
        <x:v>62.3</x:v>
      </x:c>
      <x:c r="F19" s="92" t="n">
        <x:f>C19/'Inputs'!$B$27</x:f>
        <x:v>0.002777777777777778</x:v>
      </x:c>
      <x:c r="G19" s="39" t="str">
        <x:f>IF(ISNUMBER(D19),'Inputs'!$B$8*D19*F19,"")</x:f>
      </x:c>
      <x:c r="H19" s="39" t="n">
        <x:f>'Inputs'!$B$8*E19/'Inputs'!$B$26*F19</x:f>
        <x:v>1342.6723650511112</x:v>
      </x:c>
      <x:c r="I19" s="48" t="str">
        <x:f>IF(ISNUMBER(G19),G19+H19,"")</x:f>
      </x:c>
      <x:c r="J19" s="94" t="str">
        <x:f>IF(ISNUMBER(D19),'Inputs'!$B$33+D19*F19,"")</x:f>
      </x:c>
      <x:c r="K19" s="95" t="str">
        <x:f>IF(AND(ISNUMBER(K18),ISNUMBER(J19)),K18*J19,"")</x:f>
      </x:c>
    </x:row>
    <x:row r="20" ht="23" customHeight="1">
      <x:c r="A20" s="44" t="n">
        <x:f>B19</x:f>
        <x:v>46193</x:v>
      </x:c>
      <x:c r="B20" s="89" t="n">
        <x:f>A20+'Inputs'!$B$33</x:f>
        <x:v>46194</x:v>
      </x:c>
      <x:c r="C20" s="85" t="n">
        <x:f>MAX('Inputs'!$B$32,MIN(B20,'Inputs'!$B$56)-MAX(A20,'Inputs'!$B$55))</x:f>
        <x:v>1</x:v>
      </x:c>
      <x:c r="D20" s="29"/>
      <x:c r="E20" s="90" t="n">
        <x:f>'Inputs'!$B$9</x:f>
        <x:v>62.3</x:v>
      </x:c>
      <x:c r="F20" s="92" t="n">
        <x:f>C20/'Inputs'!$B$27</x:f>
        <x:v>0.002777777777777778</x:v>
      </x:c>
      <x:c r="G20" s="39" t="str">
        <x:f>IF(ISNUMBER(D20),'Inputs'!$B$8*D20*F20,"")</x:f>
      </x:c>
      <x:c r="H20" s="39" t="n">
        <x:f>'Inputs'!$B$8*E20/'Inputs'!$B$26*F20</x:f>
        <x:v>1342.6723650511112</x:v>
      </x:c>
      <x:c r="I20" s="48" t="str">
        <x:f>IF(ISNUMBER(G20),G20+H20,"")</x:f>
      </x:c>
      <x:c r="J20" s="94" t="str">
        <x:f>IF(ISNUMBER(D20),'Inputs'!$B$33+D20*F20,"")</x:f>
      </x:c>
      <x:c r="K20" s="95" t="str">
        <x:f>IF(AND(ISNUMBER(K19),ISNUMBER(J20)),K19*J20,"")</x:f>
      </x:c>
    </x:row>
    <x:row r="21" ht="23" customHeight="1">
      <x:c r="A21" s="44" t="n">
        <x:f>B20</x:f>
        <x:v>46194</x:v>
      </x:c>
      <x:c r="B21" s="89" t="n">
        <x:f>A21+'Inputs'!$B$33</x:f>
        <x:v>46195</x:v>
      </x:c>
      <x:c r="C21" s="85" t="n">
        <x:f>MAX('Inputs'!$B$32,MIN(B21,'Inputs'!$B$56)-MAX(A21,'Inputs'!$B$55))</x:f>
        <x:v>1</x:v>
      </x:c>
      <x:c r="D21" s="29"/>
      <x:c r="E21" s="90" t="n">
        <x:f>'Inputs'!$B$9</x:f>
        <x:v>62.3</x:v>
      </x:c>
      <x:c r="F21" s="92" t="n">
        <x:f>C21/'Inputs'!$B$27</x:f>
        <x:v>0.002777777777777778</x:v>
      </x:c>
      <x:c r="G21" s="39" t="str">
        <x:f>IF(ISNUMBER(D21),'Inputs'!$B$8*D21*F21,"")</x:f>
      </x:c>
      <x:c r="H21" s="39" t="n">
        <x:f>'Inputs'!$B$8*E21/'Inputs'!$B$26*F21</x:f>
        <x:v>1342.6723650511112</x:v>
      </x:c>
      <x:c r="I21" s="48" t="str">
        <x:f>IF(ISNUMBER(G21),G21+H21,"")</x:f>
      </x:c>
      <x:c r="J21" s="94" t="str">
        <x:f>IF(ISNUMBER(D21),'Inputs'!$B$33+D21*F21,"")</x:f>
      </x:c>
      <x:c r="K21" s="95" t="str">
        <x:f>IF(AND(ISNUMBER(K20),ISNUMBER(J21)),K20*J21,"")</x:f>
      </x:c>
    </x:row>
    <x:row r="22" ht="23" customHeight="1">
      <x:c r="A22" s="44" t="n">
        <x:f>B21</x:f>
        <x:v>46195</x:v>
      </x:c>
      <x:c r="B22" s="89" t="n">
        <x:f>A22+'Inputs'!$B$33</x:f>
        <x:v>46196</x:v>
      </x:c>
      <x:c r="C22" s="85" t="n">
        <x:f>MAX('Inputs'!$B$32,MIN(B22,'Inputs'!$B$56)-MAX(A22,'Inputs'!$B$55))</x:f>
        <x:v>1</x:v>
      </x:c>
      <x:c r="D22" s="29"/>
      <x:c r="E22" s="90" t="n">
        <x:f>'Inputs'!$B$9</x:f>
        <x:v>62.3</x:v>
      </x:c>
      <x:c r="F22" s="92" t="n">
        <x:f>C22/'Inputs'!$B$27</x:f>
        <x:v>0.002777777777777778</x:v>
      </x:c>
      <x:c r="G22" s="39" t="str">
        <x:f>IF(ISNUMBER(D22),'Inputs'!$B$8*D22*F22,"")</x:f>
      </x:c>
      <x:c r="H22" s="39" t="n">
        <x:f>'Inputs'!$B$8*E22/'Inputs'!$B$26*F22</x:f>
        <x:v>1342.6723650511112</x:v>
      </x:c>
      <x:c r="I22" s="48" t="str">
        <x:f>IF(ISNUMBER(G22),G22+H22,"")</x:f>
      </x:c>
      <x:c r="J22" s="94" t="str">
        <x:f>IF(ISNUMBER(D22),'Inputs'!$B$33+D22*F22,"")</x:f>
      </x:c>
      <x:c r="K22" s="95" t="str">
        <x:f>IF(AND(ISNUMBER(K21),ISNUMBER(J22)),K21*J22,"")</x:f>
      </x:c>
    </x:row>
    <x:row r="23" ht="23" customHeight="1">
      <x:c r="A23" s="44" t="n">
        <x:f>B22</x:f>
        <x:v>46196</x:v>
      </x:c>
      <x:c r="B23" s="89" t="n">
        <x:f>A23+'Inputs'!$B$33</x:f>
        <x:v>46197</x:v>
      </x:c>
      <x:c r="C23" s="85" t="n">
        <x:f>MAX('Inputs'!$B$32,MIN(B23,'Inputs'!$B$56)-MAX(A23,'Inputs'!$B$55))</x:f>
        <x:v>1</x:v>
      </x:c>
      <x:c r="D23" s="29"/>
      <x:c r="E23" s="90" t="n">
        <x:f>'Inputs'!$B$9</x:f>
        <x:v>62.3</x:v>
      </x:c>
      <x:c r="F23" s="92" t="n">
        <x:f>C23/'Inputs'!$B$27</x:f>
        <x:v>0.002777777777777778</x:v>
      </x:c>
      <x:c r="G23" s="39" t="str">
        <x:f>IF(ISNUMBER(D23),'Inputs'!$B$8*D23*F23,"")</x:f>
      </x:c>
      <x:c r="H23" s="39" t="n">
        <x:f>'Inputs'!$B$8*E23/'Inputs'!$B$26*F23</x:f>
        <x:v>1342.6723650511112</x:v>
      </x:c>
      <x:c r="I23" s="48" t="str">
        <x:f>IF(ISNUMBER(G23),G23+H23,"")</x:f>
      </x:c>
      <x:c r="J23" s="94" t="str">
        <x:f>IF(ISNUMBER(D23),'Inputs'!$B$33+D23*F23,"")</x:f>
      </x:c>
      <x:c r="K23" s="95" t="str">
        <x:f>IF(AND(ISNUMBER(K22),ISNUMBER(J23)),K22*J23,"")</x:f>
      </x:c>
    </x:row>
    <x:row r="24" ht="23" customHeight="1">
      <x:c r="A24" s="44" t="n">
        <x:f>B23</x:f>
        <x:v>46197</x:v>
      </x:c>
      <x:c r="B24" s="89" t="n">
        <x:f>A24+'Inputs'!$B$33</x:f>
        <x:v>46198</x:v>
      </x:c>
      <x:c r="C24" s="85" t="n">
        <x:f>MAX('Inputs'!$B$32,MIN(B24,'Inputs'!$B$56)-MAX(A24,'Inputs'!$B$55))</x:f>
        <x:v>1</x:v>
      </x:c>
      <x:c r="D24" s="29"/>
      <x:c r="E24" s="90" t="n">
        <x:f>'Inputs'!$B$9</x:f>
        <x:v>62.3</x:v>
      </x:c>
      <x:c r="F24" s="92" t="n">
        <x:f>C24/'Inputs'!$B$27</x:f>
        <x:v>0.002777777777777778</x:v>
      </x:c>
      <x:c r="G24" s="39" t="str">
        <x:f>IF(ISNUMBER(D24),'Inputs'!$B$8*D24*F24,"")</x:f>
      </x:c>
      <x:c r="H24" s="39" t="n">
        <x:f>'Inputs'!$B$8*E24/'Inputs'!$B$26*F24</x:f>
        <x:v>1342.6723650511112</x:v>
      </x:c>
      <x:c r="I24" s="48" t="str">
        <x:f>IF(ISNUMBER(G24),G24+H24,"")</x:f>
      </x:c>
      <x:c r="J24" s="94" t="str">
        <x:f>IF(ISNUMBER(D24),'Inputs'!$B$33+D24*F24,"")</x:f>
      </x:c>
      <x:c r="K24" s="95" t="str">
        <x:f>IF(AND(ISNUMBER(K23),ISNUMBER(J24)),K23*J24,"")</x:f>
      </x:c>
    </x:row>
    <x:row r="25" ht="23" customHeight="1">
      <x:c r="A25" s="44" t="n">
        <x:f>B24</x:f>
        <x:v>46198</x:v>
      </x:c>
      <x:c r="B25" s="89" t="n">
        <x:f>A25+'Inputs'!$B$33</x:f>
        <x:v>46199</x:v>
      </x:c>
      <x:c r="C25" s="85" t="n">
        <x:f>MAX('Inputs'!$B$32,MIN(B25,'Inputs'!$B$56)-MAX(A25,'Inputs'!$B$55))</x:f>
        <x:v>1</x:v>
      </x:c>
      <x:c r="D25" s="29"/>
      <x:c r="E25" s="90" t="n">
        <x:f>'Inputs'!$B$9</x:f>
        <x:v>62.3</x:v>
      </x:c>
      <x:c r="F25" s="92" t="n">
        <x:f>C25/'Inputs'!$B$27</x:f>
        <x:v>0.002777777777777778</x:v>
      </x:c>
      <x:c r="G25" s="39" t="str">
        <x:f>IF(ISNUMBER(D25),'Inputs'!$B$8*D25*F25,"")</x:f>
      </x:c>
      <x:c r="H25" s="39" t="n">
        <x:f>'Inputs'!$B$8*E25/'Inputs'!$B$26*F25</x:f>
        <x:v>1342.6723650511112</x:v>
      </x:c>
      <x:c r="I25" s="48" t="str">
        <x:f>IF(ISNUMBER(G25),G25+H25,"")</x:f>
      </x:c>
      <x:c r="J25" s="94" t="str">
        <x:f>IF(ISNUMBER(D25),'Inputs'!$B$33+D25*F25,"")</x:f>
      </x:c>
      <x:c r="K25" s="95" t="str">
        <x:f>IF(AND(ISNUMBER(K24),ISNUMBER(J25)),K24*J25,"")</x:f>
      </x:c>
    </x:row>
    <x:row r="26" ht="23" customHeight="1">
      <x:c r="A26" s="44" t="n">
        <x:f>B25</x:f>
        <x:v>46199</x:v>
      </x:c>
      <x:c r="B26" s="89" t="n">
        <x:f>A26+'Inputs'!$B$33</x:f>
        <x:v>46200</x:v>
      </x:c>
      <x:c r="C26" s="85" t="n">
        <x:f>MAX('Inputs'!$B$32,MIN(B26,'Inputs'!$B$56)-MAX(A26,'Inputs'!$B$55))</x:f>
        <x:v>1</x:v>
      </x:c>
      <x:c r="D26" s="29"/>
      <x:c r="E26" s="90" t="n">
        <x:f>'Inputs'!$B$9</x:f>
        <x:v>62.3</x:v>
      </x:c>
      <x:c r="F26" s="92" t="n">
        <x:f>C26/'Inputs'!$B$27</x:f>
        <x:v>0.002777777777777778</x:v>
      </x:c>
      <x:c r="G26" s="39" t="str">
        <x:f>IF(ISNUMBER(D26),'Inputs'!$B$8*D26*F26,"")</x:f>
      </x:c>
      <x:c r="H26" s="39" t="n">
        <x:f>'Inputs'!$B$8*E26/'Inputs'!$B$26*F26</x:f>
        <x:v>1342.6723650511112</x:v>
      </x:c>
      <x:c r="I26" s="48" t="str">
        <x:f>IF(ISNUMBER(G26),G26+H26,"")</x:f>
      </x:c>
      <x:c r="J26" s="94" t="str">
        <x:f>IF(ISNUMBER(D26),'Inputs'!$B$33+D26*F26,"")</x:f>
      </x:c>
      <x:c r="K26" s="95" t="str">
        <x:f>IF(AND(ISNUMBER(K25),ISNUMBER(J26)),K25*J26,"")</x:f>
      </x:c>
    </x:row>
    <x:row r="27" ht="23" customHeight="1">
      <x:c r="A27" s="44" t="n">
        <x:f>B26</x:f>
        <x:v>46200</x:v>
      </x:c>
      <x:c r="B27" s="89" t="n">
        <x:f>A27+'Inputs'!$B$33</x:f>
        <x:v>46201</x:v>
      </x:c>
      <x:c r="C27" s="85" t="n">
        <x:f>MAX('Inputs'!$B$32,MIN(B27,'Inputs'!$B$56)-MAX(A27,'Inputs'!$B$55))</x:f>
        <x:v>1</x:v>
      </x:c>
      <x:c r="D27" s="29"/>
      <x:c r="E27" s="90" t="n">
        <x:f>'Inputs'!$B$9</x:f>
        <x:v>62.3</x:v>
      </x:c>
      <x:c r="F27" s="92" t="n">
        <x:f>C27/'Inputs'!$B$27</x:f>
        <x:v>0.002777777777777778</x:v>
      </x:c>
      <x:c r="G27" s="39" t="str">
        <x:f>IF(ISNUMBER(D27),'Inputs'!$B$8*D27*F27,"")</x:f>
      </x:c>
      <x:c r="H27" s="39" t="n">
        <x:f>'Inputs'!$B$8*E27/'Inputs'!$B$26*F27</x:f>
        <x:v>1342.6723650511112</x:v>
      </x:c>
      <x:c r="I27" s="48" t="str">
        <x:f>IF(ISNUMBER(G27),G27+H27,"")</x:f>
      </x:c>
      <x:c r="J27" s="94" t="str">
        <x:f>IF(ISNUMBER(D27),'Inputs'!$B$33+D27*F27,"")</x:f>
      </x:c>
      <x:c r="K27" s="95" t="str">
        <x:f>IF(AND(ISNUMBER(K26),ISNUMBER(J27)),K26*J27,"")</x:f>
      </x:c>
    </x:row>
    <x:row r="28" ht="23" customHeight="1">
      <x:c r="A28" s="44" t="n">
        <x:f>B27</x:f>
        <x:v>46201</x:v>
      </x:c>
      <x:c r="B28" s="89" t="n">
        <x:f>A28+'Inputs'!$B$33</x:f>
        <x:v>46202</x:v>
      </x:c>
      <x:c r="C28" s="85" t="n">
        <x:f>MAX('Inputs'!$B$32,MIN(B28,'Inputs'!$B$56)-MAX(A28,'Inputs'!$B$55))</x:f>
        <x:v>1</x:v>
      </x:c>
      <x:c r="D28" s="29"/>
      <x:c r="E28" s="90" t="n">
        <x:f>'Inputs'!$B$9</x:f>
        <x:v>62.3</x:v>
      </x:c>
      <x:c r="F28" s="92" t="n">
        <x:f>C28/'Inputs'!$B$27</x:f>
        <x:v>0.002777777777777778</x:v>
      </x:c>
      <x:c r="G28" s="39" t="str">
        <x:f>IF(ISNUMBER(D28),'Inputs'!$B$8*D28*F28,"")</x:f>
      </x:c>
      <x:c r="H28" s="39" t="n">
        <x:f>'Inputs'!$B$8*E28/'Inputs'!$B$26*F28</x:f>
        <x:v>1342.6723650511112</x:v>
      </x:c>
      <x:c r="I28" s="48" t="str">
        <x:f>IF(ISNUMBER(G28),G28+H28,"")</x:f>
      </x:c>
      <x:c r="J28" s="94" t="str">
        <x:f>IF(ISNUMBER(D28),'Inputs'!$B$33+D28*F28,"")</x:f>
      </x:c>
      <x:c r="K28" s="95" t="str">
        <x:f>IF(AND(ISNUMBER(K27),ISNUMBER(J28)),K27*J28,"")</x:f>
      </x:c>
    </x:row>
    <x:row r="29" ht="23" customHeight="1">
      <x:c r="A29" s="44" t="n">
        <x:f>B28</x:f>
        <x:v>46202</x:v>
      </x:c>
      <x:c r="B29" s="89" t="n">
        <x:f>A29+'Inputs'!$B$33</x:f>
        <x:v>46203</x:v>
      </x:c>
      <x:c r="C29" s="85" t="n">
        <x:f>MAX('Inputs'!$B$32,MIN(B29,'Inputs'!$B$56)-MAX(A29,'Inputs'!$B$55))</x:f>
        <x:v>1</x:v>
      </x:c>
      <x:c r="D29" s="29"/>
      <x:c r="E29" s="90" t="n">
        <x:f>'Inputs'!$B$9</x:f>
        <x:v>62.3</x:v>
      </x:c>
      <x:c r="F29" s="92" t="n">
        <x:f>C29/'Inputs'!$B$27</x:f>
        <x:v>0.002777777777777778</x:v>
      </x:c>
      <x:c r="G29" s="39" t="str">
        <x:f>IF(ISNUMBER(D29),'Inputs'!$B$8*D29*F29,"")</x:f>
      </x:c>
      <x:c r="H29" s="39" t="n">
        <x:f>'Inputs'!$B$8*E29/'Inputs'!$B$26*F29</x:f>
        <x:v>1342.6723650511112</x:v>
      </x:c>
      <x:c r="I29" s="48" t="str">
        <x:f>IF(ISNUMBER(G29),G29+H29,"")</x:f>
      </x:c>
      <x:c r="J29" s="94" t="str">
        <x:f>IF(ISNUMBER(D29),'Inputs'!$B$33+D29*F29,"")</x:f>
      </x:c>
      <x:c r="K29" s="95" t="str">
        <x:f>IF(AND(ISNUMBER(K28),ISNUMBER(J29)),K28*J29,"")</x:f>
      </x:c>
    </x:row>
    <x:row r="30" ht="23" customHeight="1">
      <x:c r="A30" s="44" t="n">
        <x:f>B29</x:f>
        <x:v>46203</x:v>
      </x:c>
      <x:c r="B30" s="89" t="n">
        <x:f>A30+'Inputs'!$B$33</x:f>
        <x:v>46204</x:v>
      </x:c>
      <x:c r="C30" s="85" t="n">
        <x:f>MAX('Inputs'!$B$32,MIN(B30,'Inputs'!$B$56)-MAX(A30,'Inputs'!$B$55))</x:f>
        <x:v>1</x:v>
      </x:c>
      <x:c r="D30" s="29"/>
      <x:c r="E30" s="90" t="n">
        <x:f>'Inputs'!$B$9</x:f>
        <x:v>62.3</x:v>
      </x:c>
      <x:c r="F30" s="92" t="n">
        <x:f>C30/'Inputs'!$B$27</x:f>
        <x:v>0.002777777777777778</x:v>
      </x:c>
      <x:c r="G30" s="39" t="str">
        <x:f>IF(ISNUMBER(D30),'Inputs'!$B$8*D30*F30,"")</x:f>
      </x:c>
      <x:c r="H30" s="39" t="n">
        <x:f>'Inputs'!$B$8*E30/'Inputs'!$B$26*F30</x:f>
        <x:v>1342.6723650511112</x:v>
      </x:c>
      <x:c r="I30" s="48" t="str">
        <x:f>IF(ISNUMBER(G30),G30+H30,"")</x:f>
      </x:c>
      <x:c r="J30" s="94" t="str">
        <x:f>IF(ISNUMBER(D30),'Inputs'!$B$33+D30*F30,"")</x:f>
      </x:c>
      <x:c r="K30" s="95" t="str">
        <x:f>IF(AND(ISNUMBER(K29),ISNUMBER(J30)),K29*J30,"")</x:f>
      </x:c>
    </x:row>
    <x:row r="31" ht="23" customHeight="1">
      <x:c r="A31" s="44" t="n">
        <x:f>B30</x:f>
        <x:v>46204</x:v>
      </x:c>
      <x:c r="B31" s="89" t="n">
        <x:f>A31+'Inputs'!$B$33</x:f>
        <x:v>46205</x:v>
      </x:c>
      <x:c r="C31" s="85" t="n">
        <x:f>MAX('Inputs'!$B$32,MIN(B31,'Inputs'!$B$56)-MAX(A31,'Inputs'!$B$55))</x:f>
        <x:v>1</x:v>
      </x:c>
      <x:c r="D31" s="29"/>
      <x:c r="E31" s="90" t="n">
        <x:f>'Inputs'!$B$9</x:f>
        <x:v>62.3</x:v>
      </x:c>
      <x:c r="F31" s="92" t="n">
        <x:f>C31/'Inputs'!$B$27</x:f>
        <x:v>0.002777777777777778</x:v>
      </x:c>
      <x:c r="G31" s="39" t="str">
        <x:f>IF(ISNUMBER(D31),'Inputs'!$B$8*D31*F31,"")</x:f>
      </x:c>
      <x:c r="H31" s="39" t="n">
        <x:f>'Inputs'!$B$8*E31/'Inputs'!$B$26*F31</x:f>
        <x:v>1342.6723650511112</x:v>
      </x:c>
      <x:c r="I31" s="48" t="str">
        <x:f>IF(ISNUMBER(G31),G31+H31,"")</x:f>
      </x:c>
      <x:c r="J31" s="94" t="str">
        <x:f>IF(ISNUMBER(D31),'Inputs'!$B$33+D31*F31,"")</x:f>
      </x:c>
      <x:c r="K31" s="95" t="str">
        <x:f>IF(AND(ISNUMBER(K30),ISNUMBER(J31)),K30*J31,"")</x:f>
      </x:c>
    </x:row>
    <x:row r="32" ht="23" customHeight="1">
      <x:c r="A32" s="44" t="n">
        <x:f>B31</x:f>
        <x:v>46205</x:v>
      </x:c>
      <x:c r="B32" s="89" t="n">
        <x:f>A32+'Inputs'!$B$33</x:f>
        <x:v>46206</x:v>
      </x:c>
      <x:c r="C32" s="85" t="n">
        <x:f>MAX('Inputs'!$B$32,MIN(B32,'Inputs'!$B$56)-MAX(A32,'Inputs'!$B$55))</x:f>
        <x:v>1</x:v>
      </x:c>
      <x:c r="D32" s="29"/>
      <x:c r="E32" s="90" t="n">
        <x:f>'Inputs'!$B$9</x:f>
        <x:v>62.3</x:v>
      </x:c>
      <x:c r="F32" s="92" t="n">
        <x:f>C32/'Inputs'!$B$27</x:f>
        <x:v>0.002777777777777778</x:v>
      </x:c>
      <x:c r="G32" s="39" t="str">
        <x:f>IF(ISNUMBER(D32),'Inputs'!$B$8*D32*F32,"")</x:f>
      </x:c>
      <x:c r="H32" s="39" t="n">
        <x:f>'Inputs'!$B$8*E32/'Inputs'!$B$26*F32</x:f>
        <x:v>1342.6723650511112</x:v>
      </x:c>
      <x:c r="I32" s="48" t="str">
        <x:f>IF(ISNUMBER(G32),G32+H32,"")</x:f>
      </x:c>
      <x:c r="J32" s="94" t="str">
        <x:f>IF(ISNUMBER(D32),'Inputs'!$B$33+D32*F32,"")</x:f>
      </x:c>
      <x:c r="K32" s="95" t="str">
        <x:f>IF(AND(ISNUMBER(K31),ISNUMBER(J32)),K31*J32,"")</x:f>
      </x:c>
    </x:row>
    <x:row r="33" ht="23" customHeight="1">
      <x:c r="A33" s="44" t="n">
        <x:f>B32</x:f>
        <x:v>46206</x:v>
      </x:c>
      <x:c r="B33" s="89" t="n">
        <x:f>A33+'Inputs'!$B$33</x:f>
        <x:v>46207</x:v>
      </x:c>
      <x:c r="C33" s="85" t="n">
        <x:f>MAX('Inputs'!$B$32,MIN(B33,'Inputs'!$B$56)-MAX(A33,'Inputs'!$B$55))</x:f>
        <x:v>1</x:v>
      </x:c>
      <x:c r="D33" s="29"/>
      <x:c r="E33" s="90" t="n">
        <x:f>'Inputs'!$B$9</x:f>
        <x:v>62.3</x:v>
      </x:c>
      <x:c r="F33" s="92" t="n">
        <x:f>C33/'Inputs'!$B$27</x:f>
        <x:v>0.002777777777777778</x:v>
      </x:c>
      <x:c r="G33" s="39" t="str">
        <x:f>IF(ISNUMBER(D33),'Inputs'!$B$8*D33*F33,"")</x:f>
      </x:c>
      <x:c r="H33" s="39" t="n">
        <x:f>'Inputs'!$B$8*E33/'Inputs'!$B$26*F33</x:f>
        <x:v>1342.6723650511112</x:v>
      </x:c>
      <x:c r="I33" s="48" t="str">
        <x:f>IF(ISNUMBER(G33),G33+H33,"")</x:f>
      </x:c>
      <x:c r="J33" s="94" t="str">
        <x:f>IF(ISNUMBER(D33),'Inputs'!$B$33+D33*F33,"")</x:f>
      </x:c>
      <x:c r="K33" s="95" t="str">
        <x:f>IF(AND(ISNUMBER(K32),ISNUMBER(J33)),K32*J33,"")</x:f>
      </x:c>
    </x:row>
    <x:row r="34" ht="23" customHeight="1">
      <x:c r="A34" s="44" t="n">
        <x:f>B33</x:f>
        <x:v>46207</x:v>
      </x:c>
      <x:c r="B34" s="89" t="n">
        <x:f>A34+'Inputs'!$B$33</x:f>
        <x:v>46208</x:v>
      </x:c>
      <x:c r="C34" s="85" t="n">
        <x:f>MAX('Inputs'!$B$32,MIN(B34,'Inputs'!$B$56)-MAX(A34,'Inputs'!$B$55))</x:f>
        <x:v>1</x:v>
      </x:c>
      <x:c r="D34" s="29"/>
      <x:c r="E34" s="90" t="n">
        <x:f>'Inputs'!$B$9</x:f>
        <x:v>62.3</x:v>
      </x:c>
      <x:c r="F34" s="92" t="n">
        <x:f>C34/'Inputs'!$B$27</x:f>
        <x:v>0.002777777777777778</x:v>
      </x:c>
      <x:c r="G34" s="39" t="str">
        <x:f>IF(ISNUMBER(D34),'Inputs'!$B$8*D34*F34,"")</x:f>
      </x:c>
      <x:c r="H34" s="39" t="n">
        <x:f>'Inputs'!$B$8*E34/'Inputs'!$B$26*F34</x:f>
        <x:v>1342.6723650511112</x:v>
      </x:c>
      <x:c r="I34" s="48" t="str">
        <x:f>IF(ISNUMBER(G34),G34+H34,"")</x:f>
      </x:c>
      <x:c r="J34" s="94" t="str">
        <x:f>IF(ISNUMBER(D34),'Inputs'!$B$33+D34*F34,"")</x:f>
      </x:c>
      <x:c r="K34" s="95" t="str">
        <x:f>IF(AND(ISNUMBER(K33),ISNUMBER(J34)),K33*J34,"")</x:f>
      </x:c>
    </x:row>
    <x:row r="35" ht="23" customHeight="1">
      <x:c r="A35" s="44" t="n">
        <x:f>B34</x:f>
        <x:v>46208</x:v>
      </x:c>
      <x:c r="B35" s="89" t="n">
        <x:f>A35+'Inputs'!$B$33</x:f>
        <x:v>46209</x:v>
      </x:c>
      <x:c r="C35" s="85" t="n">
        <x:f>MAX('Inputs'!$B$32,MIN(B35,'Inputs'!$B$56)-MAX(A35,'Inputs'!$B$55))</x:f>
        <x:v>1</x:v>
      </x:c>
      <x:c r="D35" s="29"/>
      <x:c r="E35" s="90" t="n">
        <x:f>'Inputs'!$B$9</x:f>
        <x:v>62.3</x:v>
      </x:c>
      <x:c r="F35" s="92" t="n">
        <x:f>C35/'Inputs'!$B$27</x:f>
        <x:v>0.002777777777777778</x:v>
      </x:c>
      <x:c r="G35" s="39" t="str">
        <x:f>IF(ISNUMBER(D35),'Inputs'!$B$8*D35*F35,"")</x:f>
      </x:c>
      <x:c r="H35" s="39" t="n">
        <x:f>'Inputs'!$B$8*E35/'Inputs'!$B$26*F35</x:f>
        <x:v>1342.6723650511112</x:v>
      </x:c>
      <x:c r="I35" s="48" t="str">
        <x:f>IF(ISNUMBER(G35),G35+H35,"")</x:f>
      </x:c>
      <x:c r="J35" s="94" t="str">
        <x:f>IF(ISNUMBER(D35),'Inputs'!$B$33+D35*F35,"")</x:f>
      </x:c>
      <x:c r="K35" s="95" t="str">
        <x:f>IF(AND(ISNUMBER(K34),ISNUMBER(J35)),K34*J35,"")</x:f>
      </x:c>
    </x:row>
    <x:row r="36" ht="23" customHeight="1">
      <x:c r="A36" s="44" t="n">
        <x:f>B35</x:f>
        <x:v>46209</x:v>
      </x:c>
      <x:c r="B36" s="89" t="n">
        <x:f>A36+'Inputs'!$B$33</x:f>
        <x:v>46210</x:v>
      </x:c>
      <x:c r="C36" s="85" t="n">
        <x:f>MAX('Inputs'!$B$32,MIN(B36,'Inputs'!$B$56)-MAX(A36,'Inputs'!$B$55))</x:f>
        <x:v>1</x:v>
      </x:c>
      <x:c r="D36" s="29"/>
      <x:c r="E36" s="90" t="n">
        <x:f>'Inputs'!$B$9</x:f>
        <x:v>62.3</x:v>
      </x:c>
      <x:c r="F36" s="92" t="n">
        <x:f>C36/'Inputs'!$B$27</x:f>
        <x:v>0.002777777777777778</x:v>
      </x:c>
      <x:c r="G36" s="39" t="str">
        <x:f>IF(ISNUMBER(D36),'Inputs'!$B$8*D36*F36,"")</x:f>
      </x:c>
      <x:c r="H36" s="39" t="n">
        <x:f>'Inputs'!$B$8*E36/'Inputs'!$B$26*F36</x:f>
        <x:v>1342.6723650511112</x:v>
      </x:c>
      <x:c r="I36" s="48" t="str">
        <x:f>IF(ISNUMBER(G36),G36+H36,"")</x:f>
      </x:c>
      <x:c r="J36" s="94" t="str">
        <x:f>IF(ISNUMBER(D36),'Inputs'!$B$33+D36*F36,"")</x:f>
      </x:c>
      <x:c r="K36" s="95" t="str">
        <x:f>IF(AND(ISNUMBER(K35),ISNUMBER(J36)),K35*J36,"")</x:f>
      </x:c>
    </x:row>
    <x:row r="37" ht="23" customHeight="1">
      <x:c r="A37" s="44" t="n">
        <x:f>B36</x:f>
        <x:v>46210</x:v>
      </x:c>
      <x:c r="B37" s="89" t="n">
        <x:f>A37+'Inputs'!$B$33</x:f>
        <x:v>46211</x:v>
      </x:c>
      <x:c r="C37" s="85" t="n">
        <x:f>MAX('Inputs'!$B$32,MIN(B37,'Inputs'!$B$56)-MAX(A37,'Inputs'!$B$55))</x:f>
        <x:v>1</x:v>
      </x:c>
      <x:c r="D37" s="29"/>
      <x:c r="E37" s="90" t="n">
        <x:f>'Inputs'!$B$9</x:f>
        <x:v>62.3</x:v>
      </x:c>
      <x:c r="F37" s="92" t="n">
        <x:f>C37/'Inputs'!$B$27</x:f>
        <x:v>0.002777777777777778</x:v>
      </x:c>
      <x:c r="G37" s="39" t="str">
        <x:f>IF(ISNUMBER(D37),'Inputs'!$B$8*D37*F37,"")</x:f>
      </x:c>
      <x:c r="H37" s="39" t="n">
        <x:f>'Inputs'!$B$8*E37/'Inputs'!$B$26*F37</x:f>
        <x:v>1342.6723650511112</x:v>
      </x:c>
      <x:c r="I37" s="48" t="str">
        <x:f>IF(ISNUMBER(G37),G37+H37,"")</x:f>
      </x:c>
      <x:c r="J37" s="94" t="str">
        <x:f>IF(ISNUMBER(D37),'Inputs'!$B$33+D37*F37,"")</x:f>
      </x:c>
      <x:c r="K37" s="95" t="str">
        <x:f>IF(AND(ISNUMBER(K36),ISNUMBER(J37)),K36*J37,"")</x:f>
      </x:c>
    </x:row>
    <x:row r="38" ht="23" customHeight="1">
      <x:c r="A38" s="44" t="n">
        <x:f>B37</x:f>
        <x:v>46211</x:v>
      </x:c>
      <x:c r="B38" s="89" t="n">
        <x:f>A38+'Inputs'!$B$33</x:f>
        <x:v>46212</x:v>
      </x:c>
      <x:c r="C38" s="85" t="n">
        <x:f>MAX('Inputs'!$B$32,MIN(B38,'Inputs'!$B$56)-MAX(A38,'Inputs'!$B$55))</x:f>
        <x:v>1</x:v>
      </x:c>
      <x:c r="D38" s="29"/>
      <x:c r="E38" s="90" t="n">
        <x:f>'Inputs'!$B$9</x:f>
        <x:v>62.3</x:v>
      </x:c>
      <x:c r="F38" s="92" t="n">
        <x:f>C38/'Inputs'!$B$27</x:f>
        <x:v>0.002777777777777778</x:v>
      </x:c>
      <x:c r="G38" s="39" t="str">
        <x:f>IF(ISNUMBER(D38),'Inputs'!$B$8*D38*F38,"")</x:f>
      </x:c>
      <x:c r="H38" s="39" t="n">
        <x:f>'Inputs'!$B$8*E38/'Inputs'!$B$26*F38</x:f>
        <x:v>1342.6723650511112</x:v>
      </x:c>
      <x:c r="I38" s="48" t="str">
        <x:f>IF(ISNUMBER(G38),G38+H38,"")</x:f>
      </x:c>
      <x:c r="J38" s="94" t="str">
        <x:f>IF(ISNUMBER(D38),'Inputs'!$B$33+D38*F38,"")</x:f>
      </x:c>
      <x:c r="K38" s="95" t="str">
        <x:f>IF(AND(ISNUMBER(K37),ISNUMBER(J38)),K37*J38,"")</x:f>
      </x:c>
    </x:row>
    <x:row r="39" ht="23" customHeight="1">
      <x:c r="A39" s="44" t="n">
        <x:f>B38</x:f>
        <x:v>46212</x:v>
      </x:c>
      <x:c r="B39" s="89" t="n">
        <x:f>A39+'Inputs'!$B$33</x:f>
        <x:v>46213</x:v>
      </x:c>
      <x:c r="C39" s="85" t="n">
        <x:f>MAX('Inputs'!$B$32,MIN(B39,'Inputs'!$B$56)-MAX(A39,'Inputs'!$B$55))</x:f>
        <x:v>1</x:v>
      </x:c>
      <x:c r="D39" s="29"/>
      <x:c r="E39" s="90" t="n">
        <x:f>'Inputs'!$B$9</x:f>
        <x:v>62.3</x:v>
      </x:c>
      <x:c r="F39" s="92" t="n">
        <x:f>C39/'Inputs'!$B$27</x:f>
        <x:v>0.002777777777777778</x:v>
      </x:c>
      <x:c r="G39" s="39" t="str">
        <x:f>IF(ISNUMBER(D39),'Inputs'!$B$8*D39*F39,"")</x:f>
      </x:c>
      <x:c r="H39" s="39" t="n">
        <x:f>'Inputs'!$B$8*E39/'Inputs'!$B$26*F39</x:f>
        <x:v>1342.6723650511112</x:v>
      </x:c>
      <x:c r="I39" s="48" t="str">
        <x:f>IF(ISNUMBER(G39),G39+H39,"")</x:f>
      </x:c>
      <x:c r="J39" s="94" t="str">
        <x:f>IF(ISNUMBER(D39),'Inputs'!$B$33+D39*F39,"")</x:f>
      </x:c>
      <x:c r="K39" s="95" t="str">
        <x:f>IF(AND(ISNUMBER(K38),ISNUMBER(J39)),K38*J39,"")</x:f>
      </x:c>
    </x:row>
    <x:row r="40" ht="23" customHeight="1">
      <x:c r="A40" s="44" t="n">
        <x:f>B39</x:f>
        <x:v>46213</x:v>
      </x:c>
      <x:c r="B40" s="89" t="n">
        <x:f>A40+'Inputs'!$B$33</x:f>
        <x:v>46214</x:v>
      </x:c>
      <x:c r="C40" s="85" t="n">
        <x:f>MAX('Inputs'!$B$32,MIN(B40,'Inputs'!$B$56)-MAX(A40,'Inputs'!$B$55))</x:f>
        <x:v>1</x:v>
      </x:c>
      <x:c r="D40" s="29"/>
      <x:c r="E40" s="90" t="n">
        <x:f>'Inputs'!$B$9</x:f>
        <x:v>62.3</x:v>
      </x:c>
      <x:c r="F40" s="92" t="n">
        <x:f>C40/'Inputs'!$B$27</x:f>
        <x:v>0.002777777777777778</x:v>
      </x:c>
      <x:c r="G40" s="39" t="str">
        <x:f>IF(ISNUMBER(D40),'Inputs'!$B$8*D40*F40,"")</x:f>
      </x:c>
      <x:c r="H40" s="39" t="n">
        <x:f>'Inputs'!$B$8*E40/'Inputs'!$B$26*F40</x:f>
        <x:v>1342.6723650511112</x:v>
      </x:c>
      <x:c r="I40" s="48" t="str">
        <x:f>IF(ISNUMBER(G40),G40+H40,"")</x:f>
      </x:c>
      <x:c r="J40" s="94" t="str">
        <x:f>IF(ISNUMBER(D40),'Inputs'!$B$33+D40*F40,"")</x:f>
      </x:c>
      <x:c r="K40" s="95" t="str">
        <x:f>IF(AND(ISNUMBER(K39),ISNUMBER(J40)),K39*J40,"")</x:f>
      </x:c>
    </x:row>
    <x:row r="41" ht="23" customHeight="1">
      <x:c r="A41" s="44" t="n">
        <x:f>B40</x:f>
        <x:v>46214</x:v>
      </x:c>
      <x:c r="B41" s="89" t="n">
        <x:f>A41+'Inputs'!$B$33</x:f>
        <x:v>46215</x:v>
      </x:c>
      <x:c r="C41" s="85" t="n">
        <x:f>MAX('Inputs'!$B$32,MIN(B41,'Inputs'!$B$56)-MAX(A41,'Inputs'!$B$55))</x:f>
        <x:v>1</x:v>
      </x:c>
      <x:c r="D41" s="29"/>
      <x:c r="E41" s="90" t="n">
        <x:f>'Inputs'!$B$9</x:f>
        <x:v>62.3</x:v>
      </x:c>
      <x:c r="F41" s="92" t="n">
        <x:f>C41/'Inputs'!$B$27</x:f>
        <x:v>0.002777777777777778</x:v>
      </x:c>
      <x:c r="G41" s="39" t="str">
        <x:f>IF(ISNUMBER(D41),'Inputs'!$B$8*D41*F41,"")</x:f>
      </x:c>
      <x:c r="H41" s="39" t="n">
        <x:f>'Inputs'!$B$8*E41/'Inputs'!$B$26*F41</x:f>
        <x:v>1342.6723650511112</x:v>
      </x:c>
      <x:c r="I41" s="48" t="str">
        <x:f>IF(ISNUMBER(G41),G41+H41,"")</x:f>
      </x:c>
      <x:c r="J41" s="94" t="str">
        <x:f>IF(ISNUMBER(D41),'Inputs'!$B$33+D41*F41,"")</x:f>
      </x:c>
      <x:c r="K41" s="95" t="str">
        <x:f>IF(AND(ISNUMBER(K40),ISNUMBER(J41)),K40*J41,"")</x:f>
      </x:c>
    </x:row>
    <x:row r="42" ht="23" customHeight="1">
      <x:c r="A42" s="44" t="n">
        <x:f>B41</x:f>
        <x:v>46215</x:v>
      </x:c>
      <x:c r="B42" s="89" t="n">
        <x:f>A42+'Inputs'!$B$33</x:f>
        <x:v>46216</x:v>
      </x:c>
      <x:c r="C42" s="85" t="n">
        <x:f>MAX('Inputs'!$B$32,MIN(B42,'Inputs'!$B$56)-MAX(A42,'Inputs'!$B$55))</x:f>
        <x:v>1</x:v>
      </x:c>
      <x:c r="D42" s="29"/>
      <x:c r="E42" s="90" t="n">
        <x:f>'Inputs'!$B$9</x:f>
        <x:v>62.3</x:v>
      </x:c>
      <x:c r="F42" s="92" t="n">
        <x:f>C42/'Inputs'!$B$27</x:f>
        <x:v>0.002777777777777778</x:v>
      </x:c>
      <x:c r="G42" s="39" t="str">
        <x:f>IF(ISNUMBER(D42),'Inputs'!$B$8*D42*F42,"")</x:f>
      </x:c>
      <x:c r="H42" s="39" t="n">
        <x:f>'Inputs'!$B$8*E42/'Inputs'!$B$26*F42</x:f>
        <x:v>1342.6723650511112</x:v>
      </x:c>
      <x:c r="I42" s="48" t="str">
        <x:f>IF(ISNUMBER(G42),G42+H42,"")</x:f>
      </x:c>
      <x:c r="J42" s="94" t="str">
        <x:f>IF(ISNUMBER(D42),'Inputs'!$B$33+D42*F42,"")</x:f>
      </x:c>
      <x:c r="K42" s="95" t="str">
        <x:f>IF(AND(ISNUMBER(K41),ISNUMBER(J42)),K41*J42,"")</x:f>
      </x:c>
    </x:row>
    <x:row r="43" ht="23" customHeight="1">
      <x:c r="A43" s="44" t="n">
        <x:f>B42</x:f>
        <x:v>46216</x:v>
      </x:c>
      <x:c r="B43" s="89" t="n">
        <x:f>A43+'Inputs'!$B$33</x:f>
        <x:v>46217</x:v>
      </x:c>
      <x:c r="C43" s="85" t="n">
        <x:f>MAX('Inputs'!$B$32,MIN(B43,'Inputs'!$B$56)-MAX(A43,'Inputs'!$B$55))</x:f>
        <x:v>1</x:v>
      </x:c>
      <x:c r="D43" s="29"/>
      <x:c r="E43" s="90" t="n">
        <x:f>'Inputs'!$B$9</x:f>
        <x:v>62.3</x:v>
      </x:c>
      <x:c r="F43" s="92" t="n">
        <x:f>C43/'Inputs'!$B$27</x:f>
        <x:v>0.002777777777777778</x:v>
      </x:c>
      <x:c r="G43" s="39" t="str">
        <x:f>IF(ISNUMBER(D43),'Inputs'!$B$8*D43*F43,"")</x:f>
      </x:c>
      <x:c r="H43" s="39" t="n">
        <x:f>'Inputs'!$B$8*E43/'Inputs'!$B$26*F43</x:f>
        <x:v>1342.6723650511112</x:v>
      </x:c>
      <x:c r="I43" s="48" t="str">
        <x:f>IF(ISNUMBER(G43),G43+H43,"")</x:f>
      </x:c>
      <x:c r="J43" s="94" t="str">
        <x:f>IF(ISNUMBER(D43),'Inputs'!$B$33+D43*F43,"")</x:f>
      </x:c>
      <x:c r="K43" s="95" t="str">
        <x:f>IF(AND(ISNUMBER(K42),ISNUMBER(J43)),K42*J43,"")</x:f>
      </x:c>
    </x:row>
    <x:row r="44" ht="23" customHeight="1">
      <x:c r="A44" s="44" t="n">
        <x:f>B43</x:f>
        <x:v>46217</x:v>
      </x:c>
      <x:c r="B44" s="89" t="n">
        <x:f>A44+'Inputs'!$B$33</x:f>
        <x:v>46218</x:v>
      </x:c>
      <x:c r="C44" s="85" t="n">
        <x:f>MAX('Inputs'!$B$32,MIN(B44,'Inputs'!$B$56)-MAX(A44,'Inputs'!$B$55))</x:f>
        <x:v>1</x:v>
      </x:c>
      <x:c r="D44" s="29"/>
      <x:c r="E44" s="90" t="n">
        <x:f>'Inputs'!$B$9</x:f>
        <x:v>62.3</x:v>
      </x:c>
      <x:c r="F44" s="92" t="n">
        <x:f>C44/'Inputs'!$B$27</x:f>
        <x:v>0.002777777777777778</x:v>
      </x:c>
      <x:c r="G44" s="39" t="str">
        <x:f>IF(ISNUMBER(D44),'Inputs'!$B$8*D44*F44,"")</x:f>
      </x:c>
      <x:c r="H44" s="39" t="n">
        <x:f>'Inputs'!$B$8*E44/'Inputs'!$B$26*F44</x:f>
        <x:v>1342.6723650511112</x:v>
      </x:c>
      <x:c r="I44" s="48" t="str">
        <x:f>IF(ISNUMBER(G44),G44+H44,"")</x:f>
      </x:c>
      <x:c r="J44" s="94" t="str">
        <x:f>IF(ISNUMBER(D44),'Inputs'!$B$33+D44*F44,"")</x:f>
      </x:c>
      <x:c r="K44" s="95" t="str">
        <x:f>IF(AND(ISNUMBER(K43),ISNUMBER(J44)),K43*J44,"")</x:f>
      </x:c>
    </x:row>
    <x:row r="45" ht="23" customHeight="1">
      <x:c r="A45" s="44" t="n">
        <x:f>B44</x:f>
        <x:v>46218</x:v>
      </x:c>
      <x:c r="B45" s="89" t="n">
        <x:f>A45+'Inputs'!$B$33</x:f>
        <x:v>46219</x:v>
      </x:c>
      <x:c r="C45" s="85" t="n">
        <x:f>MAX('Inputs'!$B$32,MIN(B45,'Inputs'!$B$56)-MAX(A45,'Inputs'!$B$55))</x:f>
        <x:v>1</x:v>
      </x:c>
      <x:c r="D45" s="29"/>
      <x:c r="E45" s="90" t="n">
        <x:f>'Inputs'!$B$9</x:f>
        <x:v>62.3</x:v>
      </x:c>
      <x:c r="F45" s="92" t="n">
        <x:f>C45/'Inputs'!$B$27</x:f>
        <x:v>0.002777777777777778</x:v>
      </x:c>
      <x:c r="G45" s="39" t="str">
        <x:f>IF(ISNUMBER(D45),'Inputs'!$B$8*D45*F45,"")</x:f>
      </x:c>
      <x:c r="H45" s="39" t="n">
        <x:f>'Inputs'!$B$8*E45/'Inputs'!$B$26*F45</x:f>
        <x:v>1342.6723650511112</x:v>
      </x:c>
      <x:c r="I45" s="48" t="str">
        <x:f>IF(ISNUMBER(G45),G45+H45,"")</x:f>
      </x:c>
      <x:c r="J45" s="94" t="str">
        <x:f>IF(ISNUMBER(D45),'Inputs'!$B$33+D45*F45,"")</x:f>
      </x:c>
      <x:c r="K45" s="95" t="str">
        <x:f>IF(AND(ISNUMBER(K44),ISNUMBER(J45)),K44*J45,"")</x:f>
      </x:c>
    </x:row>
    <x:row r="46" ht="23" customHeight="1">
      <x:c r="A46" s="44" t="n">
        <x:f>B45</x:f>
        <x:v>46219</x:v>
      </x:c>
      <x:c r="B46" s="89" t="n">
        <x:f>A46+'Inputs'!$B$33</x:f>
        <x:v>46220</x:v>
      </x:c>
      <x:c r="C46" s="85" t="n">
        <x:f>MAX('Inputs'!$B$32,MIN(B46,'Inputs'!$B$56)-MAX(A46,'Inputs'!$B$55))</x:f>
        <x:v>1</x:v>
      </x:c>
      <x:c r="D46" s="29"/>
      <x:c r="E46" s="90" t="n">
        <x:f>'Inputs'!$B$9</x:f>
        <x:v>62.3</x:v>
      </x:c>
      <x:c r="F46" s="92" t="n">
        <x:f>C46/'Inputs'!$B$27</x:f>
        <x:v>0.002777777777777778</x:v>
      </x:c>
      <x:c r="G46" s="39" t="str">
        <x:f>IF(ISNUMBER(D46),'Inputs'!$B$8*D46*F46,"")</x:f>
      </x:c>
      <x:c r="H46" s="39" t="n">
        <x:f>'Inputs'!$B$8*E46/'Inputs'!$B$26*F46</x:f>
        <x:v>1342.6723650511112</x:v>
      </x:c>
      <x:c r="I46" s="48" t="str">
        <x:f>IF(ISNUMBER(G46),G46+H46,"")</x:f>
      </x:c>
      <x:c r="J46" s="94" t="str">
        <x:f>IF(ISNUMBER(D46),'Inputs'!$B$33+D46*F46,"")</x:f>
      </x:c>
      <x:c r="K46" s="95" t="str">
        <x:f>IF(AND(ISNUMBER(K45),ISNUMBER(J46)),K45*J46,"")</x:f>
      </x:c>
    </x:row>
    <x:row r="47" ht="23" customHeight="1">
      <x:c r="A47" s="44" t="n">
        <x:f>B46</x:f>
        <x:v>46220</x:v>
      </x:c>
      <x:c r="B47" s="89" t="n">
        <x:f>A47+'Inputs'!$B$33</x:f>
        <x:v>46221</x:v>
      </x:c>
      <x:c r="C47" s="85" t="n">
        <x:f>MAX('Inputs'!$B$32,MIN(B47,'Inputs'!$B$56)-MAX(A47,'Inputs'!$B$55))</x:f>
        <x:v>1</x:v>
      </x:c>
      <x:c r="D47" s="29"/>
      <x:c r="E47" s="90" t="n">
        <x:f>'Inputs'!$B$9</x:f>
        <x:v>62.3</x:v>
      </x:c>
      <x:c r="F47" s="92" t="n">
        <x:f>C47/'Inputs'!$B$27</x:f>
        <x:v>0.002777777777777778</x:v>
      </x:c>
      <x:c r="G47" s="39" t="str">
        <x:f>IF(ISNUMBER(D47),'Inputs'!$B$8*D47*F47,"")</x:f>
      </x:c>
      <x:c r="H47" s="39" t="n">
        <x:f>'Inputs'!$B$8*E47/'Inputs'!$B$26*F47</x:f>
        <x:v>1342.6723650511112</x:v>
      </x:c>
      <x:c r="I47" s="48" t="str">
        <x:f>IF(ISNUMBER(G47),G47+H47,"")</x:f>
      </x:c>
      <x:c r="J47" s="94" t="str">
        <x:f>IF(ISNUMBER(D47),'Inputs'!$B$33+D47*F47,"")</x:f>
      </x:c>
      <x:c r="K47" s="95" t="str">
        <x:f>IF(AND(ISNUMBER(K46),ISNUMBER(J47)),K46*J47,"")</x:f>
      </x:c>
    </x:row>
    <x:row r="48" ht="23" customHeight="1">
      <x:c r="A48" s="44" t="n">
        <x:f>B47</x:f>
        <x:v>46221</x:v>
      </x:c>
      <x:c r="B48" s="89" t="n">
        <x:f>A48+'Inputs'!$B$33</x:f>
        <x:v>46222</x:v>
      </x:c>
      <x:c r="C48" s="85" t="n">
        <x:f>MAX('Inputs'!$B$32,MIN(B48,'Inputs'!$B$56)-MAX(A48,'Inputs'!$B$55))</x:f>
        <x:v>1</x:v>
      </x:c>
      <x:c r="D48" s="29"/>
      <x:c r="E48" s="90" t="n">
        <x:f>'Inputs'!$B$9</x:f>
        <x:v>62.3</x:v>
      </x:c>
      <x:c r="F48" s="92" t="n">
        <x:f>C48/'Inputs'!$B$27</x:f>
        <x:v>0.002777777777777778</x:v>
      </x:c>
      <x:c r="G48" s="39" t="str">
        <x:f>IF(ISNUMBER(D48),'Inputs'!$B$8*D48*F48,"")</x:f>
      </x:c>
      <x:c r="H48" s="39" t="n">
        <x:f>'Inputs'!$B$8*E48/'Inputs'!$B$26*F48</x:f>
        <x:v>1342.6723650511112</x:v>
      </x:c>
      <x:c r="I48" s="48" t="str">
        <x:f>IF(ISNUMBER(G48),G48+H48,"")</x:f>
      </x:c>
      <x:c r="J48" s="94" t="str">
        <x:f>IF(ISNUMBER(D48),'Inputs'!$B$33+D48*F48,"")</x:f>
      </x:c>
      <x:c r="K48" s="95" t="str">
        <x:f>IF(AND(ISNUMBER(K47),ISNUMBER(J48)),K47*J48,"")</x:f>
      </x:c>
    </x:row>
    <x:row r="49" ht="23" customHeight="1">
      <x:c r="A49" s="44" t="n">
        <x:f>B48</x:f>
        <x:v>46222</x:v>
      </x:c>
      <x:c r="B49" s="89" t="n">
        <x:f>A49+'Inputs'!$B$33</x:f>
        <x:v>46223</x:v>
      </x:c>
      <x:c r="C49" s="85" t="n">
        <x:f>MAX('Inputs'!$B$32,MIN(B49,'Inputs'!$B$56)-MAX(A49,'Inputs'!$B$55))</x:f>
        <x:v>1</x:v>
      </x:c>
      <x:c r="D49" s="29"/>
      <x:c r="E49" s="90" t="n">
        <x:f>'Inputs'!$B$9</x:f>
        <x:v>62.3</x:v>
      </x:c>
      <x:c r="F49" s="92" t="n">
        <x:f>C49/'Inputs'!$B$27</x:f>
        <x:v>0.002777777777777778</x:v>
      </x:c>
      <x:c r="G49" s="39" t="str">
        <x:f>IF(ISNUMBER(D49),'Inputs'!$B$8*D49*F49,"")</x:f>
      </x:c>
      <x:c r="H49" s="39" t="n">
        <x:f>'Inputs'!$B$8*E49/'Inputs'!$B$26*F49</x:f>
        <x:v>1342.6723650511112</x:v>
      </x:c>
      <x:c r="I49" s="48" t="str">
        <x:f>IF(ISNUMBER(G49),G49+H49,"")</x:f>
      </x:c>
      <x:c r="J49" s="94" t="str">
        <x:f>IF(ISNUMBER(D49),'Inputs'!$B$33+D49*F49,"")</x:f>
      </x:c>
      <x:c r="K49" s="95" t="str">
        <x:f>IF(AND(ISNUMBER(K48),ISNUMBER(J49)),K48*J49,"")</x:f>
      </x:c>
    </x:row>
    <x:row r="50" ht="23" customHeight="1">
      <x:c r="A50" s="44" t="n">
        <x:f>B49</x:f>
        <x:v>46223</x:v>
      </x:c>
      <x:c r="B50" s="89" t="n">
        <x:f>A50+'Inputs'!$B$33</x:f>
        <x:v>46224</x:v>
      </x:c>
      <x:c r="C50" s="85" t="n">
        <x:f>MAX('Inputs'!$B$32,MIN(B50,'Inputs'!$B$56)-MAX(A50,'Inputs'!$B$55))</x:f>
        <x:v>1</x:v>
      </x:c>
      <x:c r="D50" s="29"/>
      <x:c r="E50" s="90" t="n">
        <x:f>'Inputs'!$B$9</x:f>
        <x:v>62.3</x:v>
      </x:c>
      <x:c r="F50" s="92" t="n">
        <x:f>C50/'Inputs'!$B$27</x:f>
        <x:v>0.002777777777777778</x:v>
      </x:c>
      <x:c r="G50" s="39" t="str">
        <x:f>IF(ISNUMBER(D50),'Inputs'!$B$8*D50*F50,"")</x:f>
      </x:c>
      <x:c r="H50" s="39" t="n">
        <x:f>'Inputs'!$B$8*E50/'Inputs'!$B$26*F50</x:f>
        <x:v>1342.6723650511112</x:v>
      </x:c>
      <x:c r="I50" s="48" t="str">
        <x:f>IF(ISNUMBER(G50),G50+H50,"")</x:f>
      </x:c>
      <x:c r="J50" s="94" t="str">
        <x:f>IF(ISNUMBER(D50),'Inputs'!$B$33+D50*F50,"")</x:f>
      </x:c>
      <x:c r="K50" s="95" t="str">
        <x:f>IF(AND(ISNUMBER(K49),ISNUMBER(J50)),K49*J50,"")</x:f>
      </x:c>
    </x:row>
    <x:row r="51" ht="23" customHeight="1">
      <x:c r="A51" s="44" t="n">
        <x:f>B50</x:f>
        <x:v>46224</x:v>
      </x:c>
      <x:c r="B51" s="89" t="n">
        <x:f>A51+'Inputs'!$B$33</x:f>
        <x:v>46225</x:v>
      </x:c>
      <x:c r="C51" s="85" t="n">
        <x:f>MAX('Inputs'!$B$32,MIN(B51,'Inputs'!$B$56)-MAX(A51,'Inputs'!$B$55))</x:f>
        <x:v>1</x:v>
      </x:c>
      <x:c r="D51" s="29"/>
      <x:c r="E51" s="90" t="n">
        <x:f>'Inputs'!$B$9</x:f>
        <x:v>62.3</x:v>
      </x:c>
      <x:c r="F51" s="92" t="n">
        <x:f>C51/'Inputs'!$B$27</x:f>
        <x:v>0.002777777777777778</x:v>
      </x:c>
      <x:c r="G51" s="39" t="str">
        <x:f>IF(ISNUMBER(D51),'Inputs'!$B$8*D51*F51,"")</x:f>
      </x:c>
      <x:c r="H51" s="39" t="n">
        <x:f>'Inputs'!$B$8*E51/'Inputs'!$B$26*F51</x:f>
        <x:v>1342.6723650511112</x:v>
      </x:c>
      <x:c r="I51" s="48" t="str">
        <x:f>IF(ISNUMBER(G51),G51+H51,"")</x:f>
      </x:c>
      <x:c r="J51" s="94" t="str">
        <x:f>IF(ISNUMBER(D51),'Inputs'!$B$33+D51*F51,"")</x:f>
      </x:c>
      <x:c r="K51" s="95" t="str">
        <x:f>IF(AND(ISNUMBER(K50),ISNUMBER(J51)),K50*J51,"")</x:f>
      </x:c>
    </x:row>
    <x:row r="52" ht="23" customHeight="1">
      <x:c r="A52" s="44" t="n">
        <x:f>B51</x:f>
        <x:v>46225</x:v>
      </x:c>
      <x:c r="B52" s="89" t="n">
        <x:f>A52+'Inputs'!$B$33</x:f>
        <x:v>46226</x:v>
      </x:c>
      <x:c r="C52" s="85" t="n">
        <x:f>MAX('Inputs'!$B$32,MIN(B52,'Inputs'!$B$56)-MAX(A52,'Inputs'!$B$55))</x:f>
        <x:v>1</x:v>
      </x:c>
      <x:c r="D52" s="29"/>
      <x:c r="E52" s="90" t="n">
        <x:f>'Inputs'!$B$9</x:f>
        <x:v>62.3</x:v>
      </x:c>
      <x:c r="F52" s="92" t="n">
        <x:f>C52/'Inputs'!$B$27</x:f>
        <x:v>0.002777777777777778</x:v>
      </x:c>
      <x:c r="G52" s="39" t="str">
        <x:f>IF(ISNUMBER(D52),'Inputs'!$B$8*D52*F52,"")</x:f>
      </x:c>
      <x:c r="H52" s="39" t="n">
        <x:f>'Inputs'!$B$8*E52/'Inputs'!$B$26*F52</x:f>
        <x:v>1342.6723650511112</x:v>
      </x:c>
      <x:c r="I52" s="48" t="str">
        <x:f>IF(ISNUMBER(G52),G52+H52,"")</x:f>
      </x:c>
      <x:c r="J52" s="94" t="str">
        <x:f>IF(ISNUMBER(D52),'Inputs'!$B$33+D52*F52,"")</x:f>
      </x:c>
      <x:c r="K52" s="95" t="str">
        <x:f>IF(AND(ISNUMBER(K51),ISNUMBER(J52)),K51*J52,"")</x:f>
      </x:c>
    </x:row>
    <x:row r="53" ht="23" customHeight="1">
      <x:c r="A53" s="44" t="n">
        <x:f>B52</x:f>
        <x:v>46226</x:v>
      </x:c>
      <x:c r="B53" s="89" t="n">
        <x:f>A53+'Inputs'!$B$33</x:f>
        <x:v>46227</x:v>
      </x:c>
      <x:c r="C53" s="85" t="n">
        <x:f>MAX('Inputs'!$B$32,MIN(B53,'Inputs'!$B$56)-MAX(A53,'Inputs'!$B$55))</x:f>
        <x:v>1</x:v>
      </x:c>
      <x:c r="D53" s="29"/>
      <x:c r="E53" s="90" t="n">
        <x:f>'Inputs'!$B$9</x:f>
        <x:v>62.3</x:v>
      </x:c>
      <x:c r="F53" s="92" t="n">
        <x:f>C53/'Inputs'!$B$27</x:f>
        <x:v>0.002777777777777778</x:v>
      </x:c>
      <x:c r="G53" s="39" t="str">
        <x:f>IF(ISNUMBER(D53),'Inputs'!$B$8*D53*F53,"")</x:f>
      </x:c>
      <x:c r="H53" s="39" t="n">
        <x:f>'Inputs'!$B$8*E53/'Inputs'!$B$26*F53</x:f>
        <x:v>1342.6723650511112</x:v>
      </x:c>
      <x:c r="I53" s="48" t="str">
        <x:f>IF(ISNUMBER(G53),G53+H53,"")</x:f>
      </x:c>
      <x:c r="J53" s="94" t="str">
        <x:f>IF(ISNUMBER(D53),'Inputs'!$B$33+D53*F53,"")</x:f>
      </x:c>
      <x:c r="K53" s="95" t="str">
        <x:f>IF(AND(ISNUMBER(K52),ISNUMBER(J53)),K52*J53,"")</x:f>
      </x:c>
    </x:row>
    <x:row r="54" ht="23" customHeight="1">
      <x:c r="A54" s="44" t="n">
        <x:f>B53</x:f>
        <x:v>46227</x:v>
      </x:c>
      <x:c r="B54" s="89" t="n">
        <x:f>A54+'Inputs'!$B$33</x:f>
        <x:v>46228</x:v>
      </x:c>
      <x:c r="C54" s="85" t="n">
        <x:f>MAX('Inputs'!$B$32,MIN(B54,'Inputs'!$B$56)-MAX(A54,'Inputs'!$B$55))</x:f>
        <x:v>1</x:v>
      </x:c>
      <x:c r="D54" s="29"/>
      <x:c r="E54" s="90" t="n">
        <x:f>'Inputs'!$B$9</x:f>
        <x:v>62.3</x:v>
      </x:c>
      <x:c r="F54" s="92" t="n">
        <x:f>C54/'Inputs'!$B$27</x:f>
        <x:v>0.002777777777777778</x:v>
      </x:c>
      <x:c r="G54" s="39" t="str">
        <x:f>IF(ISNUMBER(D54),'Inputs'!$B$8*D54*F54,"")</x:f>
      </x:c>
      <x:c r="H54" s="39" t="n">
        <x:f>'Inputs'!$B$8*E54/'Inputs'!$B$26*F54</x:f>
        <x:v>1342.6723650511112</x:v>
      </x:c>
      <x:c r="I54" s="48" t="str">
        <x:f>IF(ISNUMBER(G54),G54+H54,"")</x:f>
      </x:c>
      <x:c r="J54" s="94" t="str">
        <x:f>IF(ISNUMBER(D54),'Inputs'!$B$33+D54*F54,"")</x:f>
      </x:c>
      <x:c r="K54" s="95" t="str">
        <x:f>IF(AND(ISNUMBER(K53),ISNUMBER(J54)),K53*J54,"")</x:f>
      </x:c>
    </x:row>
    <x:row r="55" ht="23" customHeight="1">
      <x:c r="A55" s="44" t="n">
        <x:f>B54</x:f>
        <x:v>46228</x:v>
      </x:c>
      <x:c r="B55" s="89" t="n">
        <x:f>A55+'Inputs'!$B$33</x:f>
        <x:v>46229</x:v>
      </x:c>
      <x:c r="C55" s="85" t="n">
        <x:f>MAX('Inputs'!$B$32,MIN(B55,'Inputs'!$B$56)-MAX(A55,'Inputs'!$B$55))</x:f>
        <x:v>1</x:v>
      </x:c>
      <x:c r="D55" s="29"/>
      <x:c r="E55" s="90" t="n">
        <x:f>'Inputs'!$B$9</x:f>
        <x:v>62.3</x:v>
      </x:c>
      <x:c r="F55" s="92" t="n">
        <x:f>C55/'Inputs'!$B$27</x:f>
        <x:v>0.002777777777777778</x:v>
      </x:c>
      <x:c r="G55" s="39" t="str">
        <x:f>IF(ISNUMBER(D55),'Inputs'!$B$8*D55*F55,"")</x:f>
      </x:c>
      <x:c r="H55" s="39" t="n">
        <x:f>'Inputs'!$B$8*E55/'Inputs'!$B$26*F55</x:f>
        <x:v>1342.6723650511112</x:v>
      </x:c>
      <x:c r="I55" s="48" t="str">
        <x:f>IF(ISNUMBER(G55),G55+H55,"")</x:f>
      </x:c>
      <x:c r="J55" s="94" t="str">
        <x:f>IF(ISNUMBER(D55),'Inputs'!$B$33+D55*F55,"")</x:f>
      </x:c>
      <x:c r="K55" s="95" t="str">
        <x:f>IF(AND(ISNUMBER(K54),ISNUMBER(J55)),K54*J55,"")</x:f>
      </x:c>
    </x:row>
    <x:row r="56" ht="23" customHeight="1">
      <x:c r="A56" s="44" t="n">
        <x:f>B55</x:f>
        <x:v>46229</x:v>
      </x:c>
      <x:c r="B56" s="89" t="n">
        <x:f>A56+'Inputs'!$B$33</x:f>
        <x:v>46230</x:v>
      </x:c>
      <x:c r="C56" s="85" t="n">
        <x:f>MAX('Inputs'!$B$32,MIN(B56,'Inputs'!$B$56)-MAX(A56,'Inputs'!$B$55))</x:f>
        <x:v>1</x:v>
      </x:c>
      <x:c r="D56" s="29"/>
      <x:c r="E56" s="90" t="n">
        <x:f>'Inputs'!$B$9</x:f>
        <x:v>62.3</x:v>
      </x:c>
      <x:c r="F56" s="92" t="n">
        <x:f>C56/'Inputs'!$B$27</x:f>
        <x:v>0.002777777777777778</x:v>
      </x:c>
      <x:c r="G56" s="39" t="str">
        <x:f>IF(ISNUMBER(D56),'Inputs'!$B$8*D56*F56,"")</x:f>
      </x:c>
      <x:c r="H56" s="39" t="n">
        <x:f>'Inputs'!$B$8*E56/'Inputs'!$B$26*F56</x:f>
        <x:v>1342.6723650511112</x:v>
      </x:c>
      <x:c r="I56" s="48" t="str">
        <x:f>IF(ISNUMBER(G56),G56+H56,"")</x:f>
      </x:c>
      <x:c r="J56" s="94" t="str">
        <x:f>IF(ISNUMBER(D56),'Inputs'!$B$33+D56*F56,"")</x:f>
      </x:c>
      <x:c r="K56" s="95" t="str">
        <x:f>IF(AND(ISNUMBER(K55),ISNUMBER(J56)),K55*J56,"")</x:f>
      </x:c>
    </x:row>
    <x:row r="57" ht="23" customHeight="1">
      <x:c r="A57" s="44" t="n">
        <x:f>B56</x:f>
        <x:v>46230</x:v>
      </x:c>
      <x:c r="B57" s="89" t="n">
        <x:f>A57+'Inputs'!$B$33</x:f>
        <x:v>46231</x:v>
      </x:c>
      <x:c r="C57" s="85" t="n">
        <x:f>MAX('Inputs'!$B$32,MIN(B57,'Inputs'!$B$56)-MAX(A57,'Inputs'!$B$55))</x:f>
        <x:v>1</x:v>
      </x:c>
      <x:c r="D57" s="29"/>
      <x:c r="E57" s="90" t="n">
        <x:f>'Inputs'!$B$9</x:f>
        <x:v>62.3</x:v>
      </x:c>
      <x:c r="F57" s="92" t="n">
        <x:f>C57/'Inputs'!$B$27</x:f>
        <x:v>0.002777777777777778</x:v>
      </x:c>
      <x:c r="G57" s="39" t="str">
        <x:f>IF(ISNUMBER(D57),'Inputs'!$B$8*D57*F57,"")</x:f>
      </x:c>
      <x:c r="H57" s="39" t="n">
        <x:f>'Inputs'!$B$8*E57/'Inputs'!$B$26*F57</x:f>
        <x:v>1342.6723650511112</x:v>
      </x:c>
      <x:c r="I57" s="48" t="str">
        <x:f>IF(ISNUMBER(G57),G57+H57,"")</x:f>
      </x:c>
      <x:c r="J57" s="94" t="str">
        <x:f>IF(ISNUMBER(D57),'Inputs'!$B$33+D57*F57,"")</x:f>
      </x:c>
      <x:c r="K57" s="95" t="str">
        <x:f>IF(AND(ISNUMBER(K56),ISNUMBER(J57)),K56*J57,"")</x:f>
      </x:c>
    </x:row>
    <x:row r="58" ht="23" customHeight="1">
      <x:c r="A58" s="44" t="n">
        <x:f>B57</x:f>
        <x:v>46231</x:v>
      </x:c>
      <x:c r="B58" s="89" t="n">
        <x:f>A58+'Inputs'!$B$33</x:f>
        <x:v>46232</x:v>
      </x:c>
      <x:c r="C58" s="85" t="n">
        <x:f>MAX('Inputs'!$B$32,MIN(B58,'Inputs'!$B$56)-MAX(A58,'Inputs'!$B$55))</x:f>
        <x:v>1</x:v>
      </x:c>
      <x:c r="D58" s="29"/>
      <x:c r="E58" s="90" t="n">
        <x:f>'Inputs'!$B$9</x:f>
        <x:v>62.3</x:v>
      </x:c>
      <x:c r="F58" s="92" t="n">
        <x:f>C58/'Inputs'!$B$27</x:f>
        <x:v>0.002777777777777778</x:v>
      </x:c>
      <x:c r="G58" s="39" t="str">
        <x:f>IF(ISNUMBER(D58),'Inputs'!$B$8*D58*F58,"")</x:f>
      </x:c>
      <x:c r="H58" s="39" t="n">
        <x:f>'Inputs'!$B$8*E58/'Inputs'!$B$26*F58</x:f>
        <x:v>1342.6723650511112</x:v>
      </x:c>
      <x:c r="I58" s="48" t="str">
        <x:f>IF(ISNUMBER(G58),G58+H58,"")</x:f>
      </x:c>
      <x:c r="J58" s="94" t="str">
        <x:f>IF(ISNUMBER(D58),'Inputs'!$B$33+D58*F58,"")</x:f>
      </x:c>
      <x:c r="K58" s="95" t="str">
        <x:f>IF(AND(ISNUMBER(K57),ISNUMBER(J58)),K57*J58,"")</x:f>
      </x:c>
    </x:row>
    <x:row r="59" ht="23" customHeight="1">
      <x:c r="A59" s="44" t="n">
        <x:f>B58</x:f>
        <x:v>46232</x:v>
      </x:c>
      <x:c r="B59" s="89" t="n">
        <x:f>A59+'Inputs'!$B$33</x:f>
        <x:v>46233</x:v>
      </x:c>
      <x:c r="C59" s="85" t="n">
        <x:f>MAX('Inputs'!$B$32,MIN(B59,'Inputs'!$B$56)-MAX(A59,'Inputs'!$B$55))</x:f>
        <x:v>1</x:v>
      </x:c>
      <x:c r="D59" s="29"/>
      <x:c r="E59" s="90" t="n">
        <x:f>'Inputs'!$B$9</x:f>
        <x:v>62.3</x:v>
      </x:c>
      <x:c r="F59" s="92" t="n">
        <x:f>C59/'Inputs'!$B$27</x:f>
        <x:v>0.002777777777777778</x:v>
      </x:c>
      <x:c r="G59" s="39" t="str">
        <x:f>IF(ISNUMBER(D59),'Inputs'!$B$8*D59*F59,"")</x:f>
      </x:c>
      <x:c r="H59" s="39" t="n">
        <x:f>'Inputs'!$B$8*E59/'Inputs'!$B$26*F59</x:f>
        <x:v>1342.6723650511112</x:v>
      </x:c>
      <x:c r="I59" s="48" t="str">
        <x:f>IF(ISNUMBER(G59),G59+H59,"")</x:f>
      </x:c>
      <x:c r="J59" s="94" t="str">
        <x:f>IF(ISNUMBER(D59),'Inputs'!$B$33+D59*F59,"")</x:f>
      </x:c>
      <x:c r="K59" s="95" t="str">
        <x:f>IF(AND(ISNUMBER(K58),ISNUMBER(J59)),K58*J59,"")</x:f>
      </x:c>
    </x:row>
    <x:row r="60" ht="23" customHeight="1">
      <x:c r="A60" s="44" t="n">
        <x:f>B59</x:f>
        <x:v>46233</x:v>
      </x:c>
      <x:c r="B60" s="89" t="n">
        <x:f>A60+'Inputs'!$B$33</x:f>
        <x:v>46234</x:v>
      </x:c>
      <x:c r="C60" s="85" t="n">
        <x:f>MAX('Inputs'!$B$32,MIN(B60,'Inputs'!$B$56)-MAX(A60,'Inputs'!$B$55))</x:f>
        <x:v>1</x:v>
      </x:c>
      <x:c r="D60" s="29"/>
      <x:c r="E60" s="90" t="n">
        <x:f>'Inputs'!$B$9</x:f>
        <x:v>62.3</x:v>
      </x:c>
      <x:c r="F60" s="92" t="n">
        <x:f>C60/'Inputs'!$B$27</x:f>
        <x:v>0.002777777777777778</x:v>
      </x:c>
      <x:c r="G60" s="39" t="str">
        <x:f>IF(ISNUMBER(D60),'Inputs'!$B$8*D60*F60,"")</x:f>
      </x:c>
      <x:c r="H60" s="39" t="n">
        <x:f>'Inputs'!$B$8*E60/'Inputs'!$B$26*F60</x:f>
        <x:v>1342.6723650511112</x:v>
      </x:c>
      <x:c r="I60" s="48" t="str">
        <x:f>IF(ISNUMBER(G60),G60+H60,"")</x:f>
      </x:c>
      <x:c r="J60" s="94" t="str">
        <x:f>IF(ISNUMBER(D60),'Inputs'!$B$33+D60*F60,"")</x:f>
      </x:c>
      <x:c r="K60" s="95" t="str">
        <x:f>IF(AND(ISNUMBER(K59),ISNUMBER(J60)),K59*J60,"")</x:f>
      </x:c>
    </x:row>
    <x:row r="61" ht="23" customHeight="1">
      <x:c r="A61" s="44" t="n">
        <x:f>B60</x:f>
        <x:v>46234</x:v>
      </x:c>
      <x:c r="B61" s="89" t="n">
        <x:f>A61+'Inputs'!$B$33</x:f>
        <x:v>46235</x:v>
      </x:c>
      <x:c r="C61" s="85" t="n">
        <x:f>MAX('Inputs'!$B$32,MIN(B61,'Inputs'!$B$56)-MAX(A61,'Inputs'!$B$55))</x:f>
        <x:v>1</x:v>
      </x:c>
      <x:c r="D61" s="29"/>
      <x:c r="E61" s="90" t="n">
        <x:f>'Inputs'!$B$9</x:f>
        <x:v>62.3</x:v>
      </x:c>
      <x:c r="F61" s="92" t="n">
        <x:f>C61/'Inputs'!$B$27</x:f>
        <x:v>0.002777777777777778</x:v>
      </x:c>
      <x:c r="G61" s="39" t="str">
        <x:f>IF(ISNUMBER(D61),'Inputs'!$B$8*D61*F61,"")</x:f>
      </x:c>
      <x:c r="H61" s="39" t="n">
        <x:f>'Inputs'!$B$8*E61/'Inputs'!$B$26*F61</x:f>
        <x:v>1342.6723650511112</x:v>
      </x:c>
      <x:c r="I61" s="48" t="str">
        <x:f>IF(ISNUMBER(G61),G61+H61,"")</x:f>
      </x:c>
      <x:c r="J61" s="94" t="str">
        <x:f>IF(ISNUMBER(D61),'Inputs'!$B$33+D61*F61,"")</x:f>
      </x:c>
      <x:c r="K61" s="95" t="str">
        <x:f>IF(AND(ISNUMBER(K60),ISNUMBER(J61)),K60*J61,"")</x:f>
      </x:c>
    </x:row>
    <x:row r="62" ht="23" customHeight="1">
      <x:c r="A62" s="44" t="n">
        <x:f>B61</x:f>
        <x:v>46235</x:v>
      </x:c>
      <x:c r="B62" s="89" t="n">
        <x:f>A62+'Inputs'!$B$33</x:f>
        <x:v>46236</x:v>
      </x:c>
      <x:c r="C62" s="85" t="n">
        <x:f>MAX('Inputs'!$B$32,MIN(B62,'Inputs'!$B$56)-MAX(A62,'Inputs'!$B$55))</x:f>
        <x:v>1</x:v>
      </x:c>
      <x:c r="D62" s="29"/>
      <x:c r="E62" s="90" t="n">
        <x:f>'Inputs'!$B$9</x:f>
        <x:v>62.3</x:v>
      </x:c>
      <x:c r="F62" s="92" t="n">
        <x:f>C62/'Inputs'!$B$27</x:f>
        <x:v>0.002777777777777778</x:v>
      </x:c>
      <x:c r="G62" s="39" t="str">
        <x:f>IF(ISNUMBER(D62),'Inputs'!$B$8*D62*F62,"")</x:f>
      </x:c>
      <x:c r="H62" s="39" t="n">
        <x:f>'Inputs'!$B$8*E62/'Inputs'!$B$26*F62</x:f>
        <x:v>1342.6723650511112</x:v>
      </x:c>
      <x:c r="I62" s="48" t="str">
        <x:f>IF(ISNUMBER(G62),G62+H62,"")</x:f>
      </x:c>
      <x:c r="J62" s="94" t="str">
        <x:f>IF(ISNUMBER(D62),'Inputs'!$B$33+D62*F62,"")</x:f>
      </x:c>
      <x:c r="K62" s="95" t="str">
        <x:f>IF(AND(ISNUMBER(K61),ISNUMBER(J62)),K61*J62,"")</x:f>
      </x:c>
    </x:row>
    <x:row r="63" ht="23" customHeight="1">
      <x:c r="A63" s="44" t="n">
        <x:f>B62</x:f>
        <x:v>46236</x:v>
      </x:c>
      <x:c r="B63" s="89" t="n">
        <x:f>A63+'Inputs'!$B$33</x:f>
        <x:v>46237</x:v>
      </x:c>
      <x:c r="C63" s="85" t="n">
        <x:f>MAX('Inputs'!$B$32,MIN(B63,'Inputs'!$B$56)-MAX(A63,'Inputs'!$B$55))</x:f>
        <x:v>1</x:v>
      </x:c>
      <x:c r="D63" s="29"/>
      <x:c r="E63" s="90" t="n">
        <x:f>'Inputs'!$B$9</x:f>
        <x:v>62.3</x:v>
      </x:c>
      <x:c r="F63" s="92" t="n">
        <x:f>C63/'Inputs'!$B$27</x:f>
        <x:v>0.002777777777777778</x:v>
      </x:c>
      <x:c r="G63" s="39" t="str">
        <x:f>IF(ISNUMBER(D63),'Inputs'!$B$8*D63*F63,"")</x:f>
      </x:c>
      <x:c r="H63" s="39" t="n">
        <x:f>'Inputs'!$B$8*E63/'Inputs'!$B$26*F63</x:f>
        <x:v>1342.6723650511112</x:v>
      </x:c>
      <x:c r="I63" s="48" t="str">
        <x:f>IF(ISNUMBER(G63),G63+H63,"")</x:f>
      </x:c>
      <x:c r="J63" s="94" t="str">
        <x:f>IF(ISNUMBER(D63),'Inputs'!$B$33+D63*F63,"")</x:f>
      </x:c>
      <x:c r="K63" s="95" t="str">
        <x:f>IF(AND(ISNUMBER(K62),ISNUMBER(J63)),K62*J63,"")</x:f>
      </x:c>
    </x:row>
    <x:row r="64" ht="23" customHeight="1">
      <x:c r="A64" s="44" t="n">
        <x:f>B63</x:f>
        <x:v>46237</x:v>
      </x:c>
      <x:c r="B64" s="89" t="n">
        <x:f>A64+'Inputs'!$B$33</x:f>
        <x:v>46238</x:v>
      </x:c>
      <x:c r="C64" s="85" t="n">
        <x:f>MAX('Inputs'!$B$32,MIN(B64,'Inputs'!$B$56)-MAX(A64,'Inputs'!$B$55))</x:f>
        <x:v>1</x:v>
      </x:c>
      <x:c r="D64" s="29"/>
      <x:c r="E64" s="90" t="n">
        <x:f>'Inputs'!$B$9</x:f>
        <x:v>62.3</x:v>
      </x:c>
      <x:c r="F64" s="92" t="n">
        <x:f>C64/'Inputs'!$B$27</x:f>
        <x:v>0.002777777777777778</x:v>
      </x:c>
      <x:c r="G64" s="39" t="str">
        <x:f>IF(ISNUMBER(D64),'Inputs'!$B$8*D64*F64,"")</x:f>
      </x:c>
      <x:c r="H64" s="39" t="n">
        <x:f>'Inputs'!$B$8*E64/'Inputs'!$B$26*F64</x:f>
        <x:v>1342.6723650511112</x:v>
      </x:c>
      <x:c r="I64" s="48" t="str">
        <x:f>IF(ISNUMBER(G64),G64+H64,"")</x:f>
      </x:c>
      <x:c r="J64" s="94" t="str">
        <x:f>IF(ISNUMBER(D64),'Inputs'!$B$33+D64*F64,"")</x:f>
      </x:c>
      <x:c r="K64" s="95" t="str">
        <x:f>IF(AND(ISNUMBER(K63),ISNUMBER(J64)),K63*J64,"")</x:f>
      </x:c>
    </x:row>
    <x:row r="65" ht="23" customHeight="1">
      <x:c r="A65" s="44" t="n">
        <x:f>B64</x:f>
        <x:v>46238</x:v>
      </x:c>
      <x:c r="B65" s="89" t="n">
        <x:f>A65+'Inputs'!$B$33</x:f>
        <x:v>46239</x:v>
      </x:c>
      <x:c r="C65" s="85" t="n">
        <x:f>MAX('Inputs'!$B$32,MIN(B65,'Inputs'!$B$56)-MAX(A65,'Inputs'!$B$55))</x:f>
        <x:v>1</x:v>
      </x:c>
      <x:c r="D65" s="29"/>
      <x:c r="E65" s="90" t="n">
        <x:f>'Inputs'!$B$9</x:f>
        <x:v>62.3</x:v>
      </x:c>
      <x:c r="F65" s="92" t="n">
        <x:f>C65/'Inputs'!$B$27</x:f>
        <x:v>0.002777777777777778</x:v>
      </x:c>
      <x:c r="G65" s="39" t="str">
        <x:f>IF(ISNUMBER(D65),'Inputs'!$B$8*D65*F65,"")</x:f>
      </x:c>
      <x:c r="H65" s="39" t="n">
        <x:f>'Inputs'!$B$8*E65/'Inputs'!$B$26*F65</x:f>
        <x:v>1342.6723650511112</x:v>
      </x:c>
      <x:c r="I65" s="48" t="str">
        <x:f>IF(ISNUMBER(G65),G65+H65,"")</x:f>
      </x:c>
      <x:c r="J65" s="94" t="str">
        <x:f>IF(ISNUMBER(D65),'Inputs'!$B$33+D65*F65,"")</x:f>
      </x:c>
      <x:c r="K65" s="95" t="str">
        <x:f>IF(AND(ISNUMBER(K64),ISNUMBER(J65)),K64*J65,"")</x:f>
      </x:c>
    </x:row>
    <x:row r="66" ht="23" customHeight="1">
      <x:c r="A66" s="2"/>
      <x:c r="B66" s="2"/>
      <x:c r="C66" s="2"/>
      <x:c r="D66" s="2"/>
      <x:c r="E66" s="2"/>
      <x:c r="F66" s="2"/>
      <x:c r="G66" s="2"/>
      <x:c r="H66" s="2"/>
      <x:c r="I66" s="2"/>
      <x:c r="J66" s="2"/>
      <x:c r="K66" s="2"/>
    </x:row>
    <x:row r="67" ht="23" customHeight="1">
      <x:c r="A67" s="2"/>
      <x:c r="B67" s="2"/>
      <x:c r="C67" s="2"/>
      <x:c r="D67" s="2"/>
      <x:c r="E67" s="2"/>
      <x:c r="F67" s="2"/>
      <x:c r="G67" s="2"/>
      <x:c r="H67" s="2"/>
      <x:c r="I67" s="2"/>
      <x:c r="J67" s="2"/>
      <x:c r="K67" s="2"/>
    </x:row>
    <x:row r="68" ht="58" customHeight="1">
      <x:c r="A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B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C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D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E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F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G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H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I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J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c r="K68" s="66" t="str">
        <x:v>The simple-average path sums SOFR × actual day fraction and a simple spread. The compounded path compounds SOFR only and adds a simple spread. Neither convention may be assumed from the screenshots; select it only after reviewing the confirmation. Missing fixings never become zero interest.</x:v>
      </x:c>
    </x:row>
    <x:row r="69" ht="23" customHeight="1">
      <x:c r="A69" s="2"/>
      <x:c r="B69" s="2"/>
      <x:c r="C69" s="2"/>
      <x:c r="D69" s="2"/>
      <x:c r="E69" s="2"/>
      <x:c r="F69" s="2"/>
      <x:c r="G69" s="2"/>
      <x:c r="H69" s="2"/>
      <x:c r="I69" s="2"/>
      <x:c r="J69" s="2"/>
      <x:c r="K69" s="2"/>
    </x:row>
    <x:row r="70" ht="23" customHeight="1">
      <x:c r="A70" s="2"/>
      <x:c r="B70" s="2"/>
      <x:c r="C70" s="2"/>
      <x:c r="D70" s="2"/>
      <x:c r="E70" s="2"/>
      <x:c r="F70" s="2"/>
      <x:c r="G70" s="2"/>
      <x:c r="H70" s="2"/>
      <x:c r="I70" s="2"/>
      <x:c r="J70" s="2"/>
      <x:c r="K70" s="2"/>
    </x:row>
    <x:row r="71" ht="23" customHeight="1">
      <x:c r="A71" s="2"/>
      <x:c r="B71" s="2"/>
      <x:c r="C71" s="2"/>
      <x:c r="D71" s="2"/>
      <x:c r="E71" s="2"/>
      <x:c r="F71" s="2"/>
      <x:c r="G71" s="2"/>
      <x:c r="H71" s="2"/>
      <x:c r="I71" s="2"/>
      <x:c r="J71" s="2"/>
      <x:c r="K71" s="2"/>
    </x:row>
    <x:row r="72" ht="23" customHeight="1">
      <x:c r="A72" s="2"/>
      <x:c r="B72" s="2"/>
      <x:c r="C72" s="2"/>
      <x:c r="D72" s="2"/>
      <x:c r="E72" s="2"/>
      <x:c r="F72" s="2"/>
      <x:c r="G72" s="2"/>
      <x:c r="H72" s="2"/>
      <x:c r="I72" s="2"/>
      <x:c r="J72" s="2"/>
      <x:c r="K72" s="2"/>
    </x:row>
    <x:row r="73" ht="23" customHeight="1">
      <x:c r="A73" s="2"/>
      <x:c r="B73" s="2"/>
      <x:c r="C73" s="2"/>
      <x:c r="D73" s="2"/>
      <x:c r="E73" s="2"/>
      <x:c r="F73" s="2"/>
      <x:c r="G73" s="2"/>
      <x:c r="H73" s="2"/>
      <x:c r="I73" s="2"/>
      <x:c r="J73" s="2"/>
      <x:c r="K73" s="2"/>
    </x:row>
    <x:row r="74" ht="23" customHeight="1">
      <x:c r="A74" s="2"/>
      <x:c r="B74" s="2"/>
      <x:c r="C74" s="2"/>
      <x:c r="D74" s="2"/>
      <x:c r="E74" s="2"/>
      <x:c r="F74" s="2"/>
      <x:c r="G74" s="2"/>
      <x:c r="H74" s="2"/>
      <x:c r="I74" s="2"/>
      <x:c r="J74" s="2"/>
      <x:c r="K74" s="2"/>
    </x:row>
    <x:row r="75" ht="23" customHeight="1">
      <x:c r="A75" s="2"/>
      <x:c r="B75" s="2"/>
      <x:c r="C75" s="2"/>
      <x:c r="D75" s="2"/>
      <x:c r="E75" s="2"/>
      <x:c r="F75" s="2"/>
      <x:c r="G75" s="2"/>
      <x:c r="H75" s="2"/>
      <x:c r="I75" s="2"/>
      <x:c r="J75" s="2"/>
      <x:c r="K75" s="2"/>
    </x:row>
    <x:row r="76" ht="23" customHeight="1">
      <x:c r="A76" s="2"/>
      <x:c r="B76" s="2"/>
      <x:c r="C76" s="2"/>
      <x:c r="D76" s="2"/>
      <x:c r="E76" s="2"/>
      <x:c r="F76" s="2"/>
      <x:c r="G76" s="2"/>
      <x:c r="H76" s="2"/>
      <x:c r="I76" s="2"/>
      <x:c r="J76" s="2"/>
      <x:c r="K76" s="2"/>
    </x:row>
  </x:sheetData>
  <x:mergeCells>
    <x:mergeCell ref="A1:K1"/>
    <x:mergeCell ref="A2:K2"/>
    <x:mergeCell ref="D5:K5"/>
    <x:mergeCell ref="A68:K68"/>
  </x:mergeCells>
  <x:dataValidations count="1">
    <x:dataValidation type="decimal" operator="between" sqref="D11:D65">
      <x:formula1>-0.1</x:formula1>
      <x:formula2>1</x:formula2>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9" hidden="0" customWidth="1"/>
    <x:col min="2" max="2" width="27" hidden="0" customWidth="1"/>
    <x:col min="3" max="3" width="27" hidden="0" customWidth="1"/>
    <x:col min="4" max="4" width="28" hidden="0" customWidth="1"/>
    <x:col min="5" max="5" width="27" hidden="0" customWidth="1"/>
    <x:col min="6" max="6" width="23" hidden="0" customWidth="1"/>
    <x:col min="7" max="7" width="23" hidden="0" customWidth="1"/>
  </x:cols>
  <x:sheetData>
    <x:row r="1" ht="39" customHeight="1">
      <x:c r="A1" s="5" t="str">
        <x:v>BOND PRICE SENSITIVITY</x:v>
      </x:c>
      <x:c r="B1" s="5" t="str">
        <x:v>BOND PRICE SENSITIVITY</x:v>
      </x:c>
      <x:c r="C1" s="5" t="str">
        <x:v>BOND PRICE SENSITIVITY</x:v>
      </x:c>
      <x:c r="D1" s="5" t="str">
        <x:v>BOND PRICE SENSITIVITY</x:v>
      </x:c>
      <x:c r="E1" s="5" t="str">
        <x:v>BOND PRICE SENSITIVITY</x:v>
      </x:c>
      <x:c r="F1" s="5" t="str">
        <x:v>BOND PRICE SENSITIVITY</x:v>
      </x:c>
      <x:c r="G1" s="5" t="str">
        <x:v>BOND PRICE SENSITIVITY</x:v>
      </x:c>
    </x:row>
    <x:row r="2" ht="43" customHeight="1">
      <x:c r="A2" s="6" t="str">
        <x:v>Each row recomputes the short dirty bond value and then the package. Current reporting FX and all non-price components remain fixed.</x:v>
      </x:c>
      <x:c r="B2" s="3" t="str">
        <x:v>Each row recomputes the short dirty bond value and then the package. Current reporting FX and all non-price components remain fixed.</x:v>
      </x:c>
      <x:c r="C2" s="3" t="str">
        <x:v>Each row recomputes the short dirty bond value and then the package. Current reporting FX and all non-price components remain fixed.</x:v>
      </x:c>
      <x:c r="D2" s="3" t="str">
        <x:v>Each row recomputes the short dirty bond value and then the package. Current reporting FX and all non-price components remain fixed.</x:v>
      </x:c>
      <x:c r="E2" s="3" t="str">
        <x:v>Each row recomputes the short dirty bond value and then the package. Current reporting FX and all non-price components remain fixed.</x:v>
      </x:c>
      <x:c r="F2" s="3" t="str">
        <x:v>Each row recomputes the short dirty bond value and then the package. Current reporting FX and all non-price components remain fixed.</x:v>
      </x:c>
      <x:c r="G2" s="3" t="str">
        <x:v>Each row recomputes the short dirty bond value and then the package. Current reporting FX and all non-price components remain fixed.</x:v>
      </x:c>
    </x:row>
    <x:row r="3" ht="23" customHeight="1">
      <x:c r="A3" s="2"/>
      <x:c r="B3" s="2"/>
      <x:c r="C3" s="2"/>
      <x:c r="D3" s="2"/>
      <x:c r="E3" s="2"/>
      <x:c r="F3" s="2"/>
      <x:c r="G3" s="2"/>
    </x:row>
    <x:row r="4" ht="34" customHeight="1">
      <x:c r="A4" s="9" t="str">
        <x:v>Bond price / 100</x:v>
      </x:c>
      <x:c r="B4" s="9" t="str">
        <x:v>Short dirty bond USD</x:v>
      </x:c>
      <x:c r="C4" s="9" t="str">
        <x:v>Closing package MTM</x:v>
      </x:c>
      <x:c r="D4" s="9" t="str">
        <x:v>Reported package YTD</x:v>
      </x:c>
      <x:c r="E4" s="9" t="str">
        <x:v>YTD + known TRS COF</x:v>
      </x:c>
      <x:c r="F4" s="9" t="str">
        <x:v>Change vs current</x:v>
      </x:c>
      <x:c r="G4" s="9" t="str">
        <x:v>Price-only USD / point</x:v>
      </x:c>
    </x:row>
    <x:row r="5" ht="23" customHeight="1">
      <x:c r="A5" s="41" t="n">
        <x:f>'Price Input'!$C$6+(ROW()-ROW($A$9))*'Inputs'!$B$34</x:f>
        <x:v>107.5758</x:v>
      </x:c>
      <x:c r="B5" s="39" t="n">
        <x:f>ROUND('Inputs'!$B$7*(A5+'Summit Replication'!$B$6)/'Inputs'!$B$25/'Inputs'!$B$38,'Inputs'!$B$31)</x:f>
        <x:v>-77361723.75</x:v>
      </x:c>
      <x:c r="C5" s="39" t="n">
        <x:f>B5+'Summit Replication'!$B$19+'Summit Replication'!$B$20</x:f>
        <x:v>734766.6099999971</x:v>
      </x:c>
      <x:c r="D5" s="39" t="n">
        <x:f>C5+'Inputs'!$B$49</x:f>
        <x:v>942360.6300000078</x:v>
      </x:c>
      <x:c r="E5" s="39" t="n">
        <x:f>D5+'Inputs'!$B$50</x:f>
        <x:v>621954.6149000078</x:v>
      </x:c>
      <x:c r="F5" s="39" t="n">
        <x:f>D5-'Summit Replication'!$B$29</x:f>
        <x:v>710826.7900000066</x:v>
      </x:c>
      <x:c r="G5" s="39" t="n">
        <x:f>'Inputs'!$B$7/'Inputs'!$B$25/'Inputs'!$B$38</x:f>
        <x:v>-710826.7803989515</x:v>
      </x:c>
    </x:row>
    <x:row r="6" ht="23" customHeight="1">
      <x:c r="A6" s="41" t="n">
        <x:f>'Price Input'!$C$6+(ROW()-ROW($A$9))*'Inputs'!$B$34</x:f>
        <x:v>107.8258</x:v>
      </x:c>
      <x:c r="B6" s="39" t="n">
        <x:f>ROUND('Inputs'!$B$7*(A6+'Summit Replication'!$B$6)/'Inputs'!$B$25/'Inputs'!$B$38,'Inputs'!$B$31)</x:f>
        <x:v>-77539430.45</x:v>
      </x:c>
      <x:c r="C6" s="39" t="n">
        <x:f>B6+'Summit Replication'!$B$19+'Summit Replication'!$B$20</x:f>
        <x:v>557059.9099999941</x:v>
      </x:c>
      <x:c r="D6" s="39" t="n">
        <x:f>C6+'Inputs'!$B$49</x:f>
        <x:v>764653.9300000048</x:v>
      </x:c>
      <x:c r="E6" s="39" t="n">
        <x:f>D6+'Inputs'!$B$50</x:f>
        <x:v>444247.9149000048</x:v>
      </x:c>
      <x:c r="F6" s="39" t="n">
        <x:f>D6-'Summit Replication'!$B$29</x:f>
        <x:v>533120.0900000036</x:v>
      </x:c>
      <x:c r="G6" s="39" t="n">
        <x:f>'Inputs'!$B$7/'Inputs'!$B$25/'Inputs'!$B$38</x:f>
        <x:v>-710826.7803989515</x:v>
      </x:c>
    </x:row>
    <x:row r="7" ht="23" customHeight="1">
      <x:c r="A7" s="41" t="n">
        <x:f>'Price Input'!$C$6+(ROW()-ROW($A$9))*'Inputs'!$B$34</x:f>
        <x:v>108.0758</x:v>
      </x:c>
      <x:c r="B7" s="39" t="n">
        <x:f>ROUND('Inputs'!$B$7*(A7+'Summit Replication'!$B$6)/'Inputs'!$B$25/'Inputs'!$B$38,'Inputs'!$B$31)</x:f>
        <x:v>-77717137.15</x:v>
      </x:c>
      <x:c r="C7" s="39" t="n">
        <x:f>B7+'Summit Replication'!$B$19+'Summit Replication'!$B$20</x:f>
        <x:v>379353.20999999106</x:v>
      </x:c>
      <x:c r="D7" s="39" t="n">
        <x:f>C7+'Inputs'!$B$49</x:f>
        <x:v>586947.2300000018</x:v>
      </x:c>
      <x:c r="E7" s="39" t="n">
        <x:f>D7+'Inputs'!$B$50</x:f>
        <x:v>266541.2149000018</x:v>
      </x:c>
      <x:c r="F7" s="39" t="n">
        <x:f>D7-'Summit Replication'!$B$29</x:f>
        <x:v>355413.39000000065</x:v>
      </x:c>
      <x:c r="G7" s="39" t="n">
        <x:f>'Inputs'!$B$7/'Inputs'!$B$25/'Inputs'!$B$38</x:f>
        <x:v>-710826.7803989515</x:v>
      </x:c>
    </x:row>
    <x:row r="8" ht="23" customHeight="1">
      <x:c r="A8" s="41" t="n">
        <x:f>'Price Input'!$C$6+(ROW()-ROW($A$9))*'Inputs'!$B$34</x:f>
        <x:v>108.3258</x:v>
      </x:c>
      <x:c r="B8" s="39" t="n">
        <x:f>ROUND('Inputs'!$B$7*(A8+'Summit Replication'!$B$6)/'Inputs'!$B$25/'Inputs'!$B$38,'Inputs'!$B$31)</x:f>
        <x:v>-77894843.84</x:v>
      </x:c>
      <x:c r="C8" s="39" t="n">
        <x:f>B8+'Summit Replication'!$B$19+'Summit Replication'!$B$20</x:f>
        <x:v>201646.51999999344</x:v>
      </x:c>
      <x:c r="D8" s="39" t="n">
        <x:f>C8+'Inputs'!$B$49</x:f>
        <x:v>409240.54000000417</x:v>
      </x:c>
      <x:c r="E8" s="39" t="n">
        <x:f>D8+'Inputs'!$B$50</x:f>
        <x:v>88834.52490000415</x:v>
      </x:c>
      <x:c r="F8" s="39" t="n">
        <x:f>D8-'Summit Replication'!$B$29</x:f>
        <x:v>177706.70000000298</x:v>
      </x:c>
      <x:c r="G8" s="39" t="n">
        <x:f>'Inputs'!$B$7/'Inputs'!$B$25/'Inputs'!$B$38</x:f>
        <x:v>-710826.7803989515</x:v>
      </x:c>
    </x:row>
    <x:row r="9" ht="30" customHeight="1">
      <x:c r="A9" s="110" t="n">
        <x:f>'Price Input'!$C$6+(ROW()-ROW($A$9))*'Inputs'!$B$34</x:f>
        <x:v>108.5758</x:v>
      </x:c>
      <x:c r="B9" s="77" t="n">
        <x:f>ROUND('Inputs'!$B$7*(A9+'Summit Replication'!$B$6)/'Inputs'!$B$25/'Inputs'!$B$38,'Inputs'!$B$31)</x:f>
        <x:v>-78072550.54</x:v>
      </x:c>
      <x:c r="C9" s="77" t="n">
        <x:f>B9+'Summit Replication'!$B$19+'Summit Replication'!$B$20</x:f>
        <x:v>23939.819999990465</x:v>
      </x:c>
      <x:c r="D9" s="77" t="n">
        <x:f>C9+'Inputs'!$B$49</x:f>
        <x:v>231533.8400000012</x:v>
      </x:c>
      <x:c r="E9" s="77" t="n">
        <x:f>D9+'Inputs'!$B$50</x:f>
        <x:v>-88872.17509999883</x:v>
      </x:c>
      <x:c r="F9" s="77" t="n">
        <x:f>D9-'Summit Replication'!$B$29</x:f>
        <x:v>0</x:v>
      </x:c>
      <x:c r="G9" s="77" t="n">
        <x:f>'Inputs'!$B$7/'Inputs'!$B$25/'Inputs'!$B$38</x:f>
        <x:v>-710826.7803989515</x:v>
      </x:c>
    </x:row>
    <x:row r="10" ht="23" customHeight="1">
      <x:c r="A10" s="41" t="n">
        <x:f>'Price Input'!$C$6+(ROW()-ROW($A$9))*'Inputs'!$B$34</x:f>
        <x:v>108.8258</x:v>
      </x:c>
      <x:c r="B10" s="39" t="n">
        <x:f>ROUND('Inputs'!$B$7*(A10+'Summit Replication'!$B$6)/'Inputs'!$B$25/'Inputs'!$B$38,'Inputs'!$B$31)</x:f>
        <x:v>-78250257.23</x:v>
      </x:c>
      <x:c r="C10" s="39" t="n">
        <x:f>B10+'Summit Replication'!$B$19+'Summit Replication'!$B$20</x:f>
        <x:v>-153766.87000000715</x:v>
      </x:c>
      <x:c r="D10" s="39" t="n">
        <x:f>C10+'Inputs'!$B$49</x:f>
        <x:v>53827.150000003574</x:v>
      </x:c>
      <x:c r="E10" s="39" t="n">
        <x:f>D10+'Inputs'!$B$50</x:f>
        <x:v>-266578.86509999644</x:v>
      </x:c>
      <x:c r="F10" s="39" t="n">
        <x:f>D10-'Summit Replication'!$B$29</x:f>
        <x:v>-177706.68999999762</x:v>
      </x:c>
      <x:c r="G10" s="39" t="n">
        <x:f>'Inputs'!$B$7/'Inputs'!$B$25/'Inputs'!$B$38</x:f>
        <x:v>-710826.7803989515</x:v>
      </x:c>
    </x:row>
    <x:row r="11" ht="23" customHeight="1">
      <x:c r="A11" s="41" t="n">
        <x:f>'Price Input'!$C$6+(ROW()-ROW($A$9))*'Inputs'!$B$34</x:f>
        <x:v>109.0758</x:v>
      </x:c>
      <x:c r="B11" s="39" t="n">
        <x:f>ROUND('Inputs'!$B$7*(A11+'Summit Replication'!$B$6)/'Inputs'!$B$25/'Inputs'!$B$38,'Inputs'!$B$31)</x:f>
        <x:v>-78427963.93</x:v>
      </x:c>
      <x:c r="C11" s="39" t="n">
        <x:f>B11+'Summit Replication'!$B$19+'Summit Replication'!$B$20</x:f>
        <x:v>-331473.57000001014</x:v>
      </x:c>
      <x:c r="D11" s="39" t="n">
        <x:f>C11+'Inputs'!$B$49</x:f>
        <x:v>-123879.5499999994</x:v>
      </x:c>
      <x:c r="E11" s="39" t="n">
        <x:f>D11+'Inputs'!$B$50</x:f>
        <x:v>-444285.5650999994</x:v>
      </x:c>
      <x:c r="F11" s="39" t="n">
        <x:f>D11-'Summit Replication'!$B$29</x:f>
        <x:v>-355413.3900000006</x:v>
      </x:c>
      <x:c r="G11" s="39" t="n">
        <x:f>'Inputs'!$B$7/'Inputs'!$B$25/'Inputs'!$B$38</x:f>
        <x:v>-710826.7803989515</x:v>
      </x:c>
    </x:row>
    <x:row r="12" ht="23" customHeight="1">
      <x:c r="A12" s="41" t="n">
        <x:f>'Price Input'!$C$6+(ROW()-ROW($A$9))*'Inputs'!$B$34</x:f>
        <x:v>109.3258</x:v>
      </x:c>
      <x:c r="B12" s="39" t="n">
        <x:f>ROUND('Inputs'!$B$7*(A12+'Summit Replication'!$B$6)/'Inputs'!$B$25/'Inputs'!$B$38,'Inputs'!$B$31)</x:f>
        <x:v>-78605670.62</x:v>
      </x:c>
      <x:c r="C12" s="39" t="n">
        <x:f>B12+'Summit Replication'!$B$19+'Summit Replication'!$B$20</x:f>
        <x:v>-509180.26000000775</x:v>
      </x:c>
      <x:c r="D12" s="39" t="n">
        <x:f>C12+'Inputs'!$B$49</x:f>
        <x:v>-301586.239999997</x:v>
      </x:c>
      <x:c r="E12" s="39" t="n">
        <x:f>D12+'Inputs'!$B$50</x:f>
        <x:v>-621992.255099997</x:v>
      </x:c>
      <x:c r="F12" s="39" t="n">
        <x:f>D12-'Summit Replication'!$B$29</x:f>
        <x:v>-533120.0799999982</x:v>
      </x:c>
      <x:c r="G12" s="39" t="n">
        <x:f>'Inputs'!$B$7/'Inputs'!$B$25/'Inputs'!$B$38</x:f>
        <x:v>-710826.7803989515</x:v>
      </x:c>
    </x:row>
    <x:row r="13" ht="23" customHeight="1">
      <x:c r="A13" s="41" t="n">
        <x:f>'Price Input'!$C$6+(ROW()-ROW($A$9))*'Inputs'!$B$34</x:f>
        <x:v>109.5758</x:v>
      </x:c>
      <x:c r="B13" s="39" t="n">
        <x:f>ROUND('Inputs'!$B$7*(A13+'Summit Replication'!$B$6)/'Inputs'!$B$25/'Inputs'!$B$38,'Inputs'!$B$31)</x:f>
        <x:v>-78783377.32</x:v>
      </x:c>
      <x:c r="C13" s="39" t="n">
        <x:f>B13+'Summit Replication'!$B$19+'Summit Replication'!$B$20</x:f>
        <x:v>-686886.9599999958</x:v>
      </x:c>
      <x:c r="D13" s="39" t="n">
        <x:f>C13+'Inputs'!$B$49</x:f>
        <x:v>-479292.93999998504</x:v>
      </x:c>
      <x:c r="E13" s="39" t="n">
        <x:f>D13+'Inputs'!$B$50</x:f>
        <x:v>-799698.955099985</x:v>
      </x:c>
      <x:c r="F13" s="39" t="n">
        <x:f>D13-'Summit Replication'!$B$29</x:f>
        <x:v>-710826.7799999863</x:v>
      </x:c>
      <x:c r="G13" s="39" t="n">
        <x:f>'Inputs'!$B$7/'Inputs'!$B$25/'Inputs'!$B$38</x:f>
        <x:v>-710826.7803989515</x:v>
      </x:c>
    </x:row>
    <x:row r="14" ht="23" customHeight="1">
      <x:c r="A14" s="2"/>
      <x:c r="B14" s="2"/>
      <x:c r="C14" s="2"/>
      <x:c r="D14" s="2"/>
      <x:c r="E14" s="2"/>
      <x:c r="F14" s="2"/>
      <x:c r="G14" s="2"/>
    </x:row>
    <x:row r="15" ht="23" customHeight="1">
      <x:c r="A15" s="2"/>
      <x:c r="B15" s="2"/>
      <x:c r="C15" s="2"/>
      <x:c r="D15" s="2"/>
      <x:c r="E15" s="2"/>
      <x:c r="F15" s="2"/>
      <x:c r="G15" s="2"/>
    </x:row>
    <x:row r="16" ht="23" customHeight="1">
      <x:c r="A16" s="2"/>
      <x:c r="B16" s="2"/>
      <x:c r="C16" s="2"/>
      <x:c r="D16" s="2"/>
      <x:c r="E16" s="2"/>
      <x:c r="F16" s="2"/>
      <x:c r="G16" s="2"/>
    </x:row>
    <x:row r="17" ht="23" customHeight="1">
      <x:c r="A17" s="2"/>
      <x:c r="B17" s="2"/>
      <x:c r="C17" s="2"/>
      <x:c r="D17" s="2"/>
      <x:c r="E17" s="2"/>
      <x:c r="F17" s="2"/>
      <x:c r="G17" s="2"/>
    </x:row>
    <x:row r="18" ht="23" customHeight="1">
      <x:c r="A18" s="2"/>
      <x:c r="B18" s="2"/>
      <x:c r="C18" s="2"/>
      <x:c r="D18" s="2"/>
      <x:c r="E18" s="2"/>
      <x:c r="F18" s="2"/>
      <x:c r="G18" s="2"/>
    </x:row>
    <x:row r="19" ht="23" customHeight="1">
      <x:c r="A19" s="2"/>
      <x:c r="B19" s="2"/>
      <x:c r="C19" s="2"/>
      <x:c r="D19" s="2"/>
      <x:c r="E19" s="2"/>
      <x:c r="F19" s="2"/>
      <x:c r="G19" s="2"/>
    </x:row>
    <x:row r="20" ht="23" customHeight="1">
      <x:c r="A20" s="2"/>
      <x:c r="B20" s="2"/>
      <x:c r="C20" s="2"/>
      <x:c r="D20" s="2"/>
      <x:c r="E20" s="2"/>
      <x:c r="F20" s="2"/>
      <x:c r="G20" s="2"/>
    </x:row>
    <x:row r="21" ht="23" customHeight="1">
      <x:c r="A21" s="2"/>
      <x:c r="B21" s="2"/>
      <x:c r="C21" s="2"/>
      <x:c r="D21" s="2"/>
      <x:c r="E21" s="2"/>
      <x:c r="F21" s="2"/>
      <x:c r="G21" s="2"/>
    </x:row>
    <x:row r="22" ht="23" customHeight="1">
      <x:c r="A22" s="2"/>
      <x:c r="B22" s="2"/>
      <x:c r="C22" s="2"/>
      <x:c r="D22" s="2"/>
      <x:c r="E22" s="2"/>
      <x:c r="F22" s="2"/>
      <x:c r="G22" s="2"/>
    </x:row>
    <x:row r="23" ht="23" customHeight="1">
      <x:c r="A23" s="2"/>
      <x:c r="B23" s="2"/>
      <x:c r="C23" s="2"/>
      <x:c r="D23" s="2"/>
      <x:c r="E23" s="2"/>
      <x:c r="F23" s="2"/>
      <x:c r="G23" s="2"/>
    </x:row>
    <x:row r="24" ht="23" customHeight="1">
      <x:c r="A24" s="2"/>
      <x:c r="B24" s="2"/>
      <x:c r="C24" s="2"/>
      <x:c r="D24" s="2"/>
      <x:c r="E24" s="2"/>
      <x:c r="F24" s="2"/>
      <x:c r="G24" s="2"/>
    </x:row>
    <x:row r="25" ht="23" customHeight="1">
      <x:c r="A25" s="2"/>
      <x:c r="B25" s="2"/>
      <x:c r="C25" s="2"/>
      <x:c r="D25" s="2"/>
      <x:c r="E25" s="2"/>
      <x:c r="F25" s="2"/>
      <x:c r="G25" s="2"/>
    </x:row>
    <x:row r="26" ht="23" customHeight="1">
      <x:c r="A26" s="2"/>
      <x:c r="B26" s="2"/>
      <x:c r="C26" s="2"/>
      <x:c r="D26" s="2"/>
      <x:c r="E26" s="2"/>
      <x:c r="F26" s="2"/>
      <x:c r="G26" s="2"/>
    </x:row>
    <x:row r="27" ht="23" customHeight="1">
      <x:c r="A27" s="2"/>
      <x:c r="B27" s="2"/>
      <x:c r="C27" s="2"/>
      <x:c r="D27" s="2"/>
      <x:c r="E27" s="2"/>
      <x:c r="F27" s="2"/>
      <x:c r="G27" s="2"/>
    </x:row>
    <x:row r="28" ht="23" customHeight="1">
      <x:c r="A28" s="2"/>
      <x:c r="B28" s="2"/>
      <x:c r="C28" s="2"/>
      <x:c r="D28" s="2"/>
      <x:c r="E28" s="2"/>
      <x:c r="F28" s="2"/>
      <x:c r="G28" s="2"/>
    </x:row>
    <x:row r="29" ht="23" customHeight="1">
      <x:c r="A29" s="2"/>
      <x:c r="B29" s="2"/>
      <x:c r="C29" s="2"/>
      <x:c r="D29" s="2"/>
      <x:c r="E29" s="2"/>
      <x:c r="F29" s="2"/>
      <x:c r="G29" s="2"/>
    </x:row>
    <x:row r="30" ht="23" customHeight="1">
      <x:c r="A30" s="2"/>
      <x:c r="B30" s="2"/>
      <x:c r="C30" s="2"/>
      <x:c r="D30" s="2"/>
      <x:c r="E30" s="2"/>
      <x:c r="F30" s="2"/>
      <x:c r="G30" s="2"/>
    </x:row>
    <x:row r="31" ht="23" customHeight="1">
      <x:c r="A31" s="2"/>
      <x:c r="B31" s="2"/>
      <x:c r="C31" s="2"/>
      <x:c r="D31" s="2"/>
      <x:c r="E31" s="2"/>
      <x:c r="F31" s="2"/>
      <x:c r="G31" s="2"/>
    </x:row>
    <x:row r="32" ht="23" customHeight="1">
      <x:c r="A32" s="2"/>
      <x:c r="B32" s="2"/>
      <x:c r="C32" s="2"/>
      <x:c r="D32" s="2"/>
      <x:c r="E32" s="2"/>
      <x:c r="F32" s="2"/>
      <x:c r="G32" s="2"/>
    </x:row>
    <x:row r="33" ht="23" customHeight="1">
      <x:c r="A33" s="2"/>
      <x:c r="B33" s="2"/>
      <x:c r="C33" s="2"/>
      <x:c r="D33" s="2"/>
      <x:c r="E33" s="2"/>
      <x:c r="F33" s="2"/>
      <x:c r="G33" s="2"/>
    </x:row>
    <x:row r="34" ht="23" customHeight="1">
      <x:c r="A34" s="2"/>
      <x:c r="B34" s="2"/>
      <x:c r="C34" s="2"/>
      <x:c r="D34" s="2"/>
      <x:c r="E34" s="2"/>
      <x:c r="F34" s="2"/>
      <x:c r="G34" s="2"/>
    </x:row>
    <x:row r="35" ht="53" customHeight="1">
      <x:c r="A35" s="66" t="str">
        <x:v>The CNY bond position is negative, so a higher bond price reduces package value. Column G calculates the USD sensitivity per 1.00 price point from the signed nominal and reporting FX. The scenario table recomputes each bond value; cent rounding may affect very small changes.</x:v>
      </x:c>
      <x:c r="B35" s="66" t="str">
        <x:v>The CNY bond position is negative, so a higher bond price reduces package value. Column G calculates the USD sensitivity per 1.00 price point from the signed nominal and reporting FX. The scenario table recomputes each bond value; cent rounding may affect very small changes.</x:v>
      </x:c>
      <x:c r="C35" s="66" t="str">
        <x:v>The CNY bond position is negative, so a higher bond price reduces package value. Column G calculates the USD sensitivity per 1.00 price point from the signed nominal and reporting FX. The scenario table recomputes each bond value; cent rounding may affect very small changes.</x:v>
      </x:c>
      <x:c r="D35" s="66" t="str">
        <x:v>The CNY bond position is negative, so a higher bond price reduces package value. Column G calculates the USD sensitivity per 1.00 price point from the signed nominal and reporting FX. The scenario table recomputes each bond value; cent rounding may affect very small changes.</x:v>
      </x:c>
      <x:c r="E35" s="66" t="str">
        <x:v>The CNY bond position is negative, so a higher bond price reduces package value. Column G calculates the USD sensitivity per 1.00 price point from the signed nominal and reporting FX. The scenario table recomputes each bond value; cent rounding may affect very small changes.</x:v>
      </x:c>
      <x:c r="F35" s="66" t="str">
        <x:v>The CNY bond position is negative, so a higher bond price reduces package value. Column G calculates the USD sensitivity per 1.00 price point from the signed nominal and reporting FX. The scenario table recomputes each bond value; cent rounding may affect very small changes.</x:v>
      </x:c>
      <x:c r="G35" s="66" t="str">
        <x:v>The CNY bond position is negative, so a higher bond price reduces package value. Column G calculates the USD sensitivity per 1.00 price point from the signed nominal and reporting FX. The scenario table recomputes each bond value; cent rounding may affect very small changes.</x:v>
      </x:c>
    </x:row>
    <x:row r="36" ht="23" customHeight="1">
      <x:c r="A36" s="2"/>
      <x:c r="B36" s="2"/>
      <x:c r="C36" s="2"/>
      <x:c r="D36" s="2"/>
      <x:c r="E36" s="2"/>
      <x:c r="F36" s="2"/>
      <x:c r="G36" s="2"/>
    </x:row>
    <x:row r="37" ht="23" customHeight="1">
      <x:c r="A37" s="2"/>
      <x:c r="B37" s="2"/>
      <x:c r="C37" s="2"/>
      <x:c r="D37" s="2"/>
      <x:c r="E37" s="2"/>
      <x:c r="F37" s="2"/>
      <x:c r="G37" s="2"/>
    </x:row>
    <x:row r="38" ht="23" customHeight="1">
      <x:c r="A38" s="2"/>
      <x:c r="B38" s="2"/>
      <x:c r="C38" s="2"/>
      <x:c r="D38" s="2"/>
      <x:c r="E38" s="2"/>
      <x:c r="F38" s="2"/>
      <x:c r="G38" s="2"/>
    </x:row>
    <x:row r="39" ht="23" customHeight="1">
      <x:c r="A39" s="2"/>
      <x:c r="B39" s="2"/>
      <x:c r="C39" s="2"/>
      <x:c r="D39" s="2"/>
      <x:c r="E39" s="2"/>
      <x:c r="F39" s="2"/>
      <x:c r="G39" s="2"/>
    </x:row>
    <x:row r="40" ht="23" customHeight="1">
      <x:c r="A40" s="2"/>
      <x:c r="B40" s="2"/>
      <x:c r="C40" s="2"/>
      <x:c r="D40" s="2"/>
      <x:c r="E40" s="2"/>
      <x:c r="F40" s="2"/>
      <x:c r="G40" s="2"/>
    </x:row>
    <x:row r="41" ht="23" customHeight="1">
      <x:c r="A41" s="2"/>
      <x:c r="B41" s="2"/>
      <x:c r="C41" s="2"/>
      <x:c r="D41" s="2"/>
      <x:c r="E41" s="2"/>
      <x:c r="F41" s="2"/>
      <x:c r="G41" s="2"/>
    </x:row>
    <x:row r="42" ht="23" customHeight="1">
      <x:c r="A42" s="2"/>
      <x:c r="B42" s="2"/>
      <x:c r="C42" s="2"/>
      <x:c r="D42" s="2"/>
      <x:c r="E42" s="2"/>
      <x:c r="F42" s="2"/>
      <x:c r="G42" s="2"/>
    </x:row>
    <x:row r="43" ht="23" customHeight="1">
      <x:c r="A43" s="2"/>
      <x:c r="B43" s="2"/>
      <x:c r="C43" s="2"/>
      <x:c r="D43" s="2"/>
      <x:c r="E43" s="2"/>
      <x:c r="F43" s="2"/>
      <x:c r="G43" s="2"/>
    </x:row>
  </x:sheetData>
  <x:mergeCells>
    <x:mergeCell ref="A1:G1"/>
    <x:mergeCell ref="A2:G2"/>
    <x:mergeCell ref="A35:G35"/>
  </x:mergeCells>
  <x:pageMargins left="0.7" right="0.7" top="0.75" bottom="0.75" header="0.3" footer="0.3"/>
  <x:drawing xmlns:r="http://schemas.openxmlformats.org/officeDocument/2006/relationships" r:id="R628b120f78ea48f4"/>
</x:worksheet>
</file>

<file path=xl/worksheets/sheet8.xml><?xml version="1.0" encoding="utf-8"?>
<x:worksheet xmlns:x="http://schemas.openxmlformats.org/spreadsheetml/2006/main">
  <x:sheetViews>
    <x:sheetView showGridLines="0" workbookViewId="0"/>
  </x:sheetViews>
  <x:sheetFormatPr defaultRowHeight="15"/>
  <x:cols>
    <x:col min="1" max="1" width="50" hidden="0" customWidth="1"/>
    <x:col min="2" max="2" width="25" hidden="0" customWidth="1"/>
    <x:col min="3" max="3" width="25" hidden="0" customWidth="1"/>
    <x:col min="4" max="4" width="23" hidden="0" customWidth="1"/>
    <x:col min="5" max="5" width="18" hidden="0" customWidth="1"/>
    <x:col min="6" max="6" width="18" hidden="0" customWidth="1"/>
    <x:col min="7" max="7" width="92" hidden="0" customWidth="1"/>
  </x:cols>
  <x:sheetData>
    <x:row r="1" ht="39" customHeight="1">
      <x:c r="A1" s="5" t="str">
        <x:v>RECONCILIATION &amp; MODEL LIMITATIONS</x:v>
      </x:c>
      <x:c r="B1" s="5" t="str">
        <x:v>RECONCILIATION &amp; MODEL LIMITATIONS</x:v>
      </x:c>
      <x:c r="C1" s="5" t="str">
        <x:v>RECONCILIATION &amp; MODEL LIMITATIONS</x:v>
      </x:c>
      <x:c r="D1" s="5" t="str">
        <x:v>RECONCILIATION &amp; MODEL LIMITATIONS</x:v>
      </x:c>
      <x:c r="E1" s="5" t="str">
        <x:v>RECONCILIATION &amp; MODEL LIMITATIONS</x:v>
      </x:c>
      <x:c r="F1" s="5" t="str">
        <x:v>RECONCILIATION &amp; MODEL LIMITATIONS</x:v>
      </x:c>
      <x:c r="G1" s="5" t="str">
        <x:v>RECONCILIATION &amp; MODEL LIMITATIONS</x:v>
      </x:c>
    </x:row>
    <x:row r="2" ht="43" customHeight="1">
      <x:c r="A2" s="6" t="str">
        <x:v>OK means a particular arithmetic or sign check passed. It does not establish missing valuation conventions or independently validate report-derived anchors.</x:v>
      </x:c>
      <x:c r="B2" s="3" t="str">
        <x:v>OK means a particular arithmetic or sign check passed. It does not establish missing valuation conventions or independently validate report-derived anchors.</x:v>
      </x:c>
      <x:c r="C2" s="3" t="str">
        <x:v>OK means a particular arithmetic or sign check passed. It does not establish missing valuation conventions or independently validate report-derived anchors.</x:v>
      </x:c>
      <x:c r="D2" s="3" t="str">
        <x:v>OK means a particular arithmetic or sign check passed. It does not establish missing valuation conventions or independently validate report-derived anchors.</x:v>
      </x:c>
      <x:c r="E2" s="3" t="str">
        <x:v>OK means a particular arithmetic or sign check passed. It does not establish missing valuation conventions or independently validate report-derived anchors.</x:v>
      </x:c>
      <x:c r="F2" s="3" t="str">
        <x:v>OK means a particular arithmetic or sign check passed. It does not establish missing valuation conventions or independently validate report-derived anchors.</x:v>
      </x:c>
      <x:c r="G2" s="3" t="str">
        <x:v>OK means a particular arithmetic or sign check passed. It does not establish missing valuation conventions or independently validate report-derived anchors.</x:v>
      </x:c>
    </x:row>
    <x:row r="3" ht="23" customHeight="1">
      <x:c r="A3" s="2"/>
      <x:c r="B3" s="2"/>
      <x:c r="C3" s="2"/>
      <x:c r="D3" s="2"/>
      <x:c r="E3" s="2"/>
      <x:c r="F3" s="2"/>
      <x:c r="G3" s="2"/>
    </x:row>
    <x:row r="4" ht="23" customHeight="1">
      <x:c r="A4" s="2"/>
      <x:c r="B4" s="2"/>
      <x:c r="C4" s="2"/>
      <x:c r="D4" s="2"/>
      <x:c r="E4" s="2"/>
      <x:c r="F4" s="2"/>
      <x:c r="G4" s="2"/>
    </x:row>
    <x:row r="5" ht="23" customHeight="1">
      <x:c r="A5" s="2" t="str">
        <x:v>Arithmetic check status</x:v>
      </x:c>
      <x:c r="B5" s="130" t="str">
        <x:f>IF(COUNTIF(F9:F25,"CHECK")=0,"OK","CHECK")</x:f>
        <x:v>OK</x:v>
      </x:c>
      <x:c r="C5" s="126"/>
      <x:c r="D5" s="126"/>
      <x:c r="E5" s="126"/>
      <x:c r="F5" s="126"/>
      <x:c r="G5" s="2"/>
    </x:row>
    <x:row r="6" ht="23" customHeight="1">
      <x:c r="A6" s="2"/>
      <x:c r="B6" s="126"/>
      <x:c r="C6" s="126"/>
      <x:c r="D6" s="126"/>
      <x:c r="E6" s="126"/>
      <x:c r="F6" s="126"/>
      <x:c r="G6" s="2"/>
    </x:row>
    <x:row r="7" ht="23" customHeight="1">
      <x:c r="A7" s="2"/>
      <x:c r="B7" s="126"/>
      <x:c r="C7" s="126"/>
      <x:c r="D7" s="126"/>
      <x:c r="E7" s="126"/>
      <x:c r="F7" s="126"/>
      <x:c r="G7" s="2"/>
    </x:row>
    <x:row r="8" ht="34" customHeight="1">
      <x:c r="A8" s="9" t="str">
        <x:v>Assertion</x:v>
      </x:c>
      <x:c r="B8" s="131" t="str">
        <x:v>Actual</x:v>
      </x:c>
      <x:c r="C8" s="131" t="str">
        <x:v>Expected</x:v>
      </x:c>
      <x:c r="D8" s="131" t="str">
        <x:v>Difference</x:v>
      </x:c>
      <x:c r="E8" s="131" t="str">
        <x:v>Tolerance</x:v>
      </x:c>
      <x:c r="F8" s="131" t="str">
        <x:v>Status</x:v>
      </x:c>
      <x:c r="G8" s="9" t="str">
        <x:v>Notes</x:v>
      </x:c>
    </x:row>
    <x:row r="9" ht="44" customHeight="1">
      <x:c r="A9" s="3" t="str">
        <x:v>Default bond clean value</x:v>
      </x:c>
      <x:c r="B9" s="118" t="n">
        <x:f>'Inputs'!$B$7*'Inputs'!$B$6/'Inputs'!$B$25</x:f>
        <x:v>-521163840</x:v>
      </x:c>
      <x:c r="C9" s="118" t="n">
        <x:f>'Source Data'!$B$15</x:f>
        <x:v>-521163840</x:v>
      </x:c>
      <x:c r="D9" s="119" t="n">
        <x:f>B9-C9</x:f>
        <x:v>0</x:v>
      </x:c>
      <x:c r="E9" s="118" t="n">
        <x:f>'Inputs'!$B$36</x:f>
        <x:v>0.1</x:v>
      </x:c>
      <x:c r="F9" s="132" t="str">
        <x:f>IF(ABS(D9)&lt;=E9,"OK","CHECK")</x:f>
        <x:v>OK</x:v>
      </x:c>
      <x:c r="G9" s="3" t="str">
        <x:v>Exact clean-price reconstruction.</x:v>
      </x:c>
    </x:row>
    <x:row r="10" ht="44" customHeight="1">
      <x:c r="A10" s="3" t="str">
        <x:v>Report bond accrued interest</x:v>
      </x:c>
      <x:c r="B10" s="118" t="n">
        <x:f>'Inputs'!$B$7*'Summit Replication'!C6/'Inputs'!$B$25</x:f>
        <x:v>-6036672</x:v>
      </x:c>
      <x:c r="C10" s="118" t="n">
        <x:f>'Source Data'!$B$5</x:f>
        <x:v>-6036672</x:v>
      </x:c>
      <x:c r="D10" s="119" t="n">
        <x:f>B10-C10</x:f>
        <x:v>0</x:v>
      </x:c>
      <x:c r="E10" s="118" t="n">
        <x:f>'Inputs'!$B$36</x:f>
        <x:v>0.1</x:v>
      </x:c>
      <x:c r="F10" s="132" t="str">
        <x:f>IF(ABS(D10)&lt;=E10,"OK","CHECK")</x:f>
        <x:v>OK</x:v>
      </x:c>
      <x:c r="G10" s="3" t="str">
        <x:v>Five-decimal per-100 rounding reproduces the source. Convention remains inferred.</x:v>
      </x:c>
    </x:row>
    <x:row r="11" ht="44" customHeight="1">
      <x:c r="A11" s="3" t="str">
        <x:v>CNY closing balance</x:v>
      </x:c>
      <x:c r="B11" s="118" t="n">
        <x:f>'Summit Replication'!C7</x:f>
        <x:v>-527200512</x:v>
      </x:c>
      <x:c r="C11" s="118" t="n">
        <x:f>'Source Data'!$B$6</x:f>
        <x:v>-527200512</x:v>
      </x:c>
      <x:c r="D11" s="119" t="n">
        <x:f>B11-C11</x:f>
        <x:v>0</x:v>
      </x:c>
      <x:c r="E11" s="118" t="n">
        <x:f>'Inputs'!$B$36</x:f>
        <x:v>0.1</x:v>
      </x:c>
      <x:c r="F11" s="132" t="str">
        <x:f>IF(ABS(D11)&lt;=E11,"OK","CHECK")</x:f>
        <x:v>OK</x:v>
      </x:c>
      <x:c r="G11" s="3" t="str">
        <x:v>Local dirty value.</x:v>
      </x:c>
    </x:row>
    <x:row r="12" ht="44" customHeight="1">
      <x:c r="A12" s="3" t="str">
        <x:v>CNY closing translated to USD</x:v>
      </x:c>
      <x:c r="B12" s="118" t="n">
        <x:f>'Summit Replication'!C18</x:f>
        <x:v>-78072550.54</x:v>
      </x:c>
      <x:c r="C12" s="118" t="n">
        <x:f>'Source Data'!$B$7</x:f>
        <x:v>-78072550.54</x:v>
      </x:c>
      <x:c r="D12" s="119" t="n">
        <x:f>B12-C12</x:f>
        <x:v>0</x:v>
      </x:c>
      <x:c r="E12" s="118" t="n">
        <x:f>'Inputs'!$B$35</x:f>
        <x:v>0.01</x:v>
      </x:c>
      <x:c r="F12" s="132" t="str">
        <x:f>IF(ABS(D12)&lt;=E12,"OK","CHECK")</x:f>
        <x:v>OK</x:v>
      </x:c>
      <x:c r="G12" s="3" t="str">
        <x:v>Current FX translation.</x:v>
      </x:c>
    </x:row>
    <x:row r="13" ht="44" customHeight="1">
      <x:c r="A13" s="3" t="str">
        <x:v>USD funding closing balance</x:v>
      </x:c>
      <x:c r="B13" s="118" t="n">
        <x:f>'Summit Replication'!C19</x:f>
        <x:v>78090874.3</x:v>
      </x:c>
      <x:c r="C13" s="118" t="n">
        <x:f>'Source Data'!$C$7</x:f>
        <x:v>78090874.3</x:v>
      </x:c>
      <x:c r="D13" s="119" t="n">
        <x:f>B13-C13</x:f>
        <x:v>0</x:v>
      </x:c>
      <x:c r="E13" s="118" t="n">
        <x:f>'Inputs'!$B$35</x:f>
        <x:v>0.01</x:v>
      </x:c>
      <x:c r="F13" s="132" t="str">
        <x:f>IF(ABS(D13)&lt;=E13,"OK","CHECK")</x:f>
        <x:v>OK</x:v>
      </x:c>
      <x:c r="G13" s="3" t="str">
        <x:v>Uses an observed accrual anchor.</x:v>
      </x:c>
    </x:row>
    <x:row r="14" ht="44" customHeight="1">
      <x:c r="A14" s="3" t="str">
        <x:v>Swap PV counted once</x:v>
      </x:c>
      <x:c r="B14" s="118" t="n">
        <x:f>'Correct Calculation'!B16</x:f>
        <x:v>5616.06</x:v>
      </x:c>
      <x:c r="C14" s="118" t="n">
        <x:f>'Source Data'!$D$7</x:f>
        <x:v>5616.06</x:v>
      </x:c>
      <x:c r="D14" s="119" t="n">
        <x:f>B14-C14</x:f>
        <x:v>0</x:v>
      </x:c>
      <x:c r="E14" s="118" t="n">
        <x:f>'Inputs'!$B$35</x:f>
        <x:v>0.01</x:v>
      </x:c>
      <x:c r="F14" s="132" t="str">
        <x:f>IF(ABS(D14)&lt;=E14,"OK","CHECK")</x:f>
        <x:v>OK</x:v>
      </x:c>
      <x:c r="G14" s="3" t="str">
        <x:v>Provided PV is retained.</x:v>
      </x:c>
    </x:row>
    <x:row r="15" ht="44" customHeight="1">
      <x:c r="A15" s="3" t="str">
        <x:v>Baseline package reported YTD</x:v>
      </x:c>
      <x:c r="B15" s="118" t="n">
        <x:f>'Summit Replication'!C29</x:f>
        <x:v>231533.8400000012</x:v>
      </x:c>
      <x:c r="C15" s="118" t="n">
        <x:f>SUM('Source Data'!$B$9:'Source Data'!$D$9)</x:f>
        <x:v>231533.8400000012</x:v>
      </x:c>
      <x:c r="D15" s="119" t="n">
        <x:f>B15-C15</x:f>
        <x:v>0</x:v>
      </x:c>
      <x:c r="E15" s="118" t="n">
        <x:f>'Inputs'!$B$35</x:f>
        <x:v>0.01</x:v>
      </x:c>
      <x:c r="F15" s="132" t="str">
        <x:f>IF(ABS(D15)&lt;=E15,"OK","CHECK")</x:f>
        <x:v>OK</x:v>
      </x:c>
      <x:c r="G15" s="3" t="str">
        <x:v>Reconciles primary I09 / CD target.</x:v>
      </x:c>
    </x:row>
    <x:row r="16" ht="44" customHeight="1">
      <x:c r="A16" s="3" t="str">
        <x:v>Scenario: independent layout vs replication</x:v>
      </x:c>
      <x:c r="B16" s="118" t="n">
        <x:f>'Correct Calculation'!B17</x:f>
        <x:v>23939.81999999163</x:v>
      </x:c>
      <x:c r="C16" s="118" t="n">
        <x:f>'Summit Replication'!B21</x:f>
        <x:v>23939.819999990465</x:v>
      </x:c>
      <x:c r="D16" s="119" t="n">
        <x:f>B16-C16</x:f>
        <x:v>1.1641532182693481e-9</x:v>
      </x:c>
      <x:c r="E16" s="118" t="n">
        <x:f>'Inputs'!$B$35</x:f>
        <x:v>0.01</x:v>
      </x:c>
      <x:c r="F16" s="132" t="str">
        <x:f>IF(ABS(D16)&lt;=E16,"OK","CHECK")</x:f>
        <x:v>OK</x:v>
      </x:c>
      <x:c r="G16" s="3" t="str">
        <x:v>Same inputs, separately written component formulas.</x:v>
      </x:c>
    </x:row>
    <x:row r="17" ht="44" customHeight="1">
      <x:c r="A17" s="3" t="str">
        <x:v>YTD equals closing value plus bridge</x:v>
      </x:c>
      <x:c r="B17" s="118" t="n">
        <x:f>'Summit Replication'!B29</x:f>
        <x:v>231533.8400000012</x:v>
      </x:c>
      <x:c r="C17" s="118" t="n">
        <x:f>'Correct Calculation'!B17+'Inputs'!$B$49</x:f>
        <x:v>231533.84000000235</x:v>
      </x:c>
      <x:c r="D17" s="119" t="n">
        <x:f>B17-C17</x:f>
        <x:v>-1.1641532182693481e-9</x:v>
      </x:c>
      <x:c r="E17" s="118" t="n">
        <x:f>'Inputs'!$B$35</x:f>
        <x:v>0.01</x:v>
      </x:c>
      <x:c r="F17" s="132" t="str">
        <x:f>IF(ABS(D17)&lt;=E17,"OK","CHECK")</x:f>
        <x:v>OK</x:v>
      </x:c>
      <x:c r="G17" s="3" t="str">
        <x:v>Historical bridge is held fixed for a today-only price scenario.</x:v>
      </x:c>
    </x:row>
    <x:row r="18" ht="44" customHeight="1">
      <x:c r="A18" s="3" t="str">
        <x:v>Top trade-summary NPV is CNY</x:v>
      </x:c>
      <x:c r="B18" s="118" t="n">
        <x:f>'Summit Replication'!C14</x:f>
        <x:v>123734.8856099844</x:v>
      </x:c>
      <x:c r="C18" s="118" t="n">
        <x:f>'Source Data'!$B$16</x:f>
        <x:v>123734.9</x:v>
      </x:c>
      <x:c r="D18" s="119" t="n">
        <x:f>B18-C18</x:f>
        <x:v>-0.01439001559629105</x:v>
      </x:c>
      <x:c r="E18" s="118" t="n">
        <x:f>'Inputs'!$B$36</x:f>
        <x:v>0.1</x:v>
      </x:c>
      <x:c r="F18" s="132" t="str">
        <x:f>IF(ABS(D18)&lt;=E18,"OK","CHECK")</x:f>
        <x:v>OK</x:v>
      </x:c>
      <x:c r="G18" s="3" t="str">
        <x:v>A small difference is caused by separately rounded source amounts.</x:v>
      </x:c>
    </x:row>
    <x:row r="19" ht="44" customHeight="1">
      <x:c r="A19" s="3" t="str">
        <x:v>Top trade-summary accrual is CNY</x:v>
      </x:c>
      <x:c r="B19" s="118" t="n">
        <x:f>'Summit Replication'!C15</x:f>
        <x:v>-2628785.405406</x:v>
      </x:c>
      <x:c r="C19" s="118" t="n">
        <x:f>'Source Data'!$B$17</x:f>
        <x:v>-2628785.39</x:v>
      </x:c>
      <x:c r="D19" s="119" t="n">
        <x:f>B19-C19</x:f>
        <x:v>-0.015405999962240458</x:v>
      </x:c>
      <x:c r="E19" s="118" t="n">
        <x:f>'Inputs'!$B$36</x:f>
        <x:v>0.1</x:v>
      </x:c>
      <x:c r="F19" s="132" t="str">
        <x:f>IF(ABS(D19)&lt;=E19,"OK","CHECK")</x:f>
        <x:v>OK</x:v>
      </x:c>
      <x:c r="G19" s="3" t="str">
        <x:v>Do not combine this CNY amount directly with USD swap PV.</x:v>
      </x:c>
    </x:row>
    <x:row r="20" ht="44" customHeight="1">
      <x:c r="A20" s="3" t="str">
        <x:v>Sensitivity centre equals live YTD</x:v>
      </x:c>
      <x:c r="B20" s="118" t="n">
        <x:f>'Price Sensitivity'!D9</x:f>
        <x:v>231533.8400000012</x:v>
      </x:c>
      <x:c r="C20" s="118" t="n">
        <x:f>'Summit Replication'!B29</x:f>
        <x:v>231533.8400000012</x:v>
      </x:c>
      <x:c r="D20" s="119" t="n">
        <x:f>B20-C20</x:f>
        <x:v>0</x:v>
      </x:c>
      <x:c r="E20" s="118" t="n">
        <x:f>'Inputs'!$B$35</x:f>
        <x:v>0.01</x:v>
      </x:c>
      <x:c r="F20" s="132" t="str">
        <x:f>IF(ABS(D20)&lt;=E20,"OK","CHECK")</x:f>
        <x:v>OK</x:v>
      </x:c>
      <x:c r="G20" s="3" t="str">
        <x:v>Checks sensitivity linkage to the price input.</x:v>
      </x:c>
    </x:row>
    <x:row r="21" ht="44" customHeight="1">
      <x:c r="A21" s="3" t="str">
        <x:v>Short position: value falls as price rises</x:v>
      </x:c>
      <x:c r="B21" s="118" t="n">
        <x:f>'Price Sensitivity'!D10-'Price Sensitivity'!D9</x:f>
        <x:v>-177706.68999999762</x:v>
      </x:c>
      <x:c r="C21" s="118" t="n">
        <x:f>'Inputs'!$B$7*'Inputs'!$B$34/'Inputs'!$B$25/'Inputs'!$B$38</x:f>
        <x:v>-177706.69509973787</x:v>
      </x:c>
      <x:c r="D21" s="119" t="n">
        <x:f>B21-C21</x:f>
        <x:v>0.005099740257719532</x:v>
      </x:c>
      <x:c r="E21" s="118" t="n">
        <x:f>'Inputs'!$B$35</x:f>
        <x:v>0.01</x:v>
      </x:c>
      <x:c r="F21" s="132" t="str">
        <x:f>IF(ABS(D21)&lt;=E21,"OK","CHECK")</x:f>
        <x:v>OK</x:v>
      </x:c>
      <x:c r="G21" s="3" t="str">
        <x:v>Finite-difference sign and units check.</x:v>
      </x:c>
    </x:row>
    <x:row r="22" ht="44" customHeight="1">
      <x:c r="A22" s="3" t="str">
        <x:v>Default price matches EOD screenshot</x:v>
      </x:c>
      <x:c r="B22" s="114" t="n">
        <x:f>'Inputs'!$B$6</x:f>
        <x:v>108.5758</x:v>
      </x:c>
      <x:c r="C22" s="114" t="n">
        <x:f>'Source Data'!$B$48*'Inputs'!$B$25</x:f>
        <x:v>108.5758</x:v>
      </x:c>
      <x:c r="D22" s="115" t="n">
        <x:f>B22-C22</x:f>
        <x:v>0</x:v>
      </x:c>
      <x:c r="E22" s="118" t="n">
        <x:f>'Inputs'!$B$35</x:f>
        <x:v>0.01</x:v>
      </x:c>
      <x:c r="F22" s="132" t="str">
        <x:f>IF(ABS(D22)&lt;=E22,"OK","CHECK")</x:f>
        <x:v>OK</x:v>
      </x:c>
      <x:c r="G22" s="3" t="str">
        <x:v>108.5758 per 100 equals 1.085758 price ratio.</x:v>
      </x:c>
    </x:row>
    <x:row r="23" ht="44" customHeight="1">
      <x:c r="A23" s="3" t="str">
        <x:v>Known COF bridge</x:v>
      </x:c>
      <x:c r="B23" s="118" t="n">
        <x:f>'Summit Replication'!B35-'Summit Replication'!B29</x:f>
        <x:v>-320406.0151</x:v>
      </x:c>
      <x:c r="C23" s="118" t="n">
        <x:f>'Inputs'!$B$50</x:f>
        <x:v>-320406.0151</x:v>
      </x:c>
      <x:c r="D23" s="119" t="n">
        <x:f>B23-C23</x:f>
        <x:v>0</x:v>
      </x:c>
      <x:c r="E23" s="118" t="n">
        <x:f>'Inputs'!$B$35</x:f>
        <x:v>0.01</x:v>
      </x:c>
      <x:c r="F23" s="132" t="str">
        <x:f>IF(ABS(D23)&lt;=E23,"OK","CHECK")</x:f>
        <x:v>OK</x:v>
      </x:c>
      <x:c r="G23" s="3" t="str">
        <x:v>Only supplied TRS COF.</x:v>
      </x:c>
    </x:row>
    <x:row r="24" ht="44" customHeight="1">
      <x:c r="A24" s="3" t="str">
        <x:v>Dates within target trade period</x:v>
      </x:c>
      <x:c r="B24" s="129" t="n">
        <x:f>IF(AND('Inputs'!$B$5&gt;='Inputs'!$B$13,'Inputs'!$B$5&lt;='Inputs'!$B$14),'Inputs'!$B$33,'Inputs'!$B$32)</x:f>
        <x:v>1</x:v>
      </x:c>
      <x:c r="C24" s="129" t="n">
        <x:f>'Inputs'!$B$33</x:f>
        <x:v>1</x:v>
      </x:c>
      <x:c r="D24" s="133" t="n">
        <x:f>B24-C24</x:f>
        <x:v>0</x:v>
      </x:c>
      <x:c r="E24" s="129" t="n">
        <x:f>'Inputs'!$B$32</x:f>
        <x:v>0</x:v>
      </x:c>
      <x:c r="F24" s="132" t="str">
        <x:f>IF(ABS(D24)&lt;=E24,"OK","CHECK")</x:f>
        <x:v>OK</x:v>
      </x:c>
      <x:c r="G24" s="3" t="str">
        <x:v>Valuation date lies between trade start and TRS / ticket maturity.</x:v>
      </x:c>
    </x:row>
    <x:row r="25" ht="44" customHeight="1">
      <x:c r="A25" s="3" t="str">
        <x:v>CNY closing less opening matches daily P&amp;L</x:v>
      </x:c>
      <x:c r="B25" s="118" t="n">
        <x:f>'Source Data'!$B$25-'Source Data'!$B$24</x:f>
        <x:v>-179856</x:v>
      </x:c>
      <x:c r="C25" s="118" t="n">
        <x:f>'Source Data'!$B$11</x:f>
        <x:v>-179856</x:v>
      </x:c>
      <x:c r="D25" s="119" t="n">
        <x:f>B25-C25</x:f>
        <x:v>0</x:v>
      </x:c>
      <x:c r="E25" s="118" t="n">
        <x:f>'Inputs'!$B$36</x:f>
        <x:v>0.1</x:v>
      </x:c>
      <x:c r="F25" s="132" t="str">
        <x:f>IF(ABS(D25)&lt;=E25,"OK","CHECK")</x:f>
        <x:v>OK</x:v>
      </x:c>
      <x:c r="G25" s="3" t="str">
        <x:v>The source figures reconcile exactly; there is no opening-balance discrepancy.</x:v>
      </x:c>
    </x:row>
    <x:row r="26" ht="28" customHeight="1">
      <x:c r="A26" s="49" t="str">
        <x:v>UNRESOLVED SOURCE / METHODOLOGY ITEMS — NEVER HIDDEN BY AN “OK” TOTAL</x:v>
      </x:c>
      <x:c r="B26" s="121" t="str">
        <x:v>UNRESOLVED SOURCE / METHODOLOGY ITEMS — NEVER HIDDEN BY AN “OK” TOTAL</x:v>
      </x:c>
      <x:c r="C26" s="121" t="str">
        <x:v>UNRESOLVED SOURCE / METHODOLOGY ITEMS — NEVER HIDDEN BY AN “OK” TOTAL</x:v>
      </x:c>
      <x:c r="D26" s="121" t="str">
        <x:v>UNRESOLVED SOURCE / METHODOLOGY ITEMS — NEVER HIDDEN BY AN “OK” TOTAL</x:v>
      </x:c>
      <x:c r="E26" s="121" t="str">
        <x:v>UNRESOLVED SOURCE / METHODOLOGY ITEMS — NEVER HIDDEN BY AN “OK” TOTAL</x:v>
      </x:c>
      <x:c r="F26" s="121" t="str">
        <x:v>UNRESOLVED SOURCE / METHODOLOGY ITEMS — NEVER HIDDEN BY AN “OK” TOTAL</x:v>
      </x:c>
      <x:c r="G26" s="49" t="str">
        <x:v>UNRESOLVED SOURCE / METHODOLOGY ITEMS — NEVER HIDDEN BY AN “OK” TOTAL</x:v>
      </x:c>
    </x:row>
    <x:row r="27" ht="44" customHeight="1">
      <x:c r="A27" s="3"/>
      <x:c r="B27" s="120"/>
      <x:c r="C27" s="120"/>
      <x:c r="D27" s="120"/>
      <x:c r="E27" s="120"/>
      <x:c r="F27" s="120"/>
      <x:c r="G27" s="3"/>
    </x:row>
    <x:row r="28" ht="44" customHeight="1">
      <x:c r="A28" s="3" t="str">
        <x:v>Historical USD YTD / closing gap</x:v>
      </x:c>
      <x:c r="B28" s="118" t="n">
        <x:f>'Inputs'!$B$49</x:f>
        <x:v>207594.02000001073</x:v>
      </x:c>
      <x:c r="C28" s="127" t="str">
        <x:v>NEEDS HISTORY</x:v>
      </x:c>
      <x:c r="D28" s="127" t="str">
        <x:v>NEEDS HISTORY</x:v>
      </x:c>
      <x:c r="E28" s="127" t="str">
        <x:v>NEEDS HISTORY</x:v>
      </x:c>
      <x:c r="F28" s="127" t="str">
        <x:v>NEEDS HISTORY</x:v>
      </x:c>
      <x:c r="G28" s="3" t="str">
        <x:v>Cause is unresolved; obtain daily P&amp;L translation, FX / ledger balances, reserves and adjustments.</x:v>
      </x:c>
    </x:row>
    <x:row r="29" ht="44" customHeight="1">
      <x:c r="A29" s="3" t="str">
        <x:v>Missing daily SOFR rates</x:v>
      </x:c>
      <x:c r="B29" s="129" t="n">
        <x:f>'Funding Detail'!E4-'Funding Detail'!H4</x:f>
        <x:v>55</x:v>
      </x:c>
      <x:c r="C29" s="127" t="str">
        <x:v>INPUTS MISSING</x:v>
      </x:c>
      <x:c r="D29" s="127" t="str">
        <x:v>INPUTS MISSING</x:v>
      </x:c>
      <x:c r="E29" s="127" t="str">
        <x:v>INPUTS MISSING</x:v>
      </x:c>
      <x:c r="F29" s="127" t="str">
        <x:v>INPUTS MISSING</x:v>
      </x:c>
      <x:c r="G29" s="3" t="str">
        <x:v>The default accrued funding remains sourced from the report.</x:v>
      </x:c>
    </x:row>
    <x:row r="30" ht="44" customHeight="1">
      <x:c r="A30" s="3" t="str">
        <x:v>Bond accrual lag implied by source</x:v>
      </x:c>
      <x:c r="B30" s="129" t="n">
        <x:f>'Inputs'!$B$43</x:f>
        <x:v>1</x:v>
      </x:c>
      <x:c r="C30" s="127" t="str">
        <x:v>CONFIRM BASIS</x:v>
      </x:c>
      <x:c r="D30" s="127" t="str">
        <x:v>CONFIRM BASIS</x:v>
      </x:c>
      <x:c r="E30" s="127" t="str">
        <x:v>CONFIRM BASIS</x:v>
      </x:c>
      <x:c r="F30" s="127" t="str">
        <x:v>CONFIRM BASIS</x:v>
      </x:c>
      <x:c r="G30" s="3" t="str">
        <x:v>152 days imply 5-Aug bond accrual, while the stated valuation date is 4-Aug.</x:v>
      </x:c>
    </x:row>
    <x:row r="31" ht="44" customHeight="1">
      <x:c r="A31" s="3" t="str">
        <x:v>Swap maturity discrepancy (calendar days)</x:v>
      </x:c>
      <x:c r="B31" s="129" t="n">
        <x:f>'Inputs'!$B$16-'Inputs'!$B$14</x:f>
        <x:v>4</x:v>
      </x:c>
      <x:c r="C31" s="127" t="str">
        <x:v>SOURCE CONFLICT</x:v>
      </x:c>
      <x:c r="D31" s="127" t="str">
        <x:v>SOURCE CONFLICT</x:v>
      </x:c>
      <x:c r="E31" s="127" t="str">
        <x:v>SOURCE CONFLICT</x:v>
      </x:c>
      <x:c r="F31" s="127" t="str">
        <x:v>SOURCE CONFLICT</x:v>
      </x:c>
      <x:c r="G31" s="3" t="str">
        <x:v>I06: 22-Sep; I19: 18-Sep. I06 also displays an amendment date after valuation.</x:v>
      </x:c>
    </x:row>
    <x:row r="32" ht="44" customHeight="1">
      <x:c r="A32" s="3" t="str">
        <x:v>Other report YTD less primary YTD</x:v>
      </x:c>
      <x:c r="B32" s="118" t="n">
        <x:f>'Source Data'!$B$42-'Source Data'!$B$9</x:f>
        <x:v>0.030000001192092896</x:v>
      </x:c>
      <x:c r="C32" s="127" t="str">
        <x:v>SOURCE ROUNDING</x:v>
      </x:c>
      <x:c r="D32" s="127" t="str">
        <x:v>SOURCE ROUNDING</x:v>
      </x:c>
      <x:c r="E32" s="127" t="str">
        <x:v>SOURCE ROUNDING</x:v>
      </x:c>
      <x:c r="F32" s="127" t="str">
        <x:v>SOURCE ROUNDING</x:v>
      </x:c>
      <x:c r="G32" s="3" t="str">
        <x:v>USD 0.03 source difference. Primary I09 / CD target is used consistently.</x:v>
      </x:c>
    </x:row>
    <x:row r="33" ht="44" customHeight="1">
      <x:c r="A33" s="3" t="str">
        <x:v>USD opening/closing less daily P&amp;L</x:v>
      </x:c>
      <x:c r="B33" s="118" t="n">
        <x:f>('Source Data'!$C$25-'Source Data'!$C$24)-'Source Data'!$C$11</x:f>
        <x:v>0</x:v>
      </x:c>
      <x:c r="C33" s="134" t="str">
        <x:v>SOURCE CONSISTENT</x:v>
      </x:c>
      <x:c r="D33" s="134" t="str">
        <x:v>SOURCE CONSISTENT</x:v>
      </x:c>
      <x:c r="E33" s="134" t="str">
        <x:v>SOURCE CONSISTENT</x:v>
      </x:c>
      <x:c r="F33" s="134" t="str">
        <x:v>SOURCE CONSISTENT</x:v>
      </x:c>
      <x:c r="G33" s="3" t="str">
        <x:v>USD closing less opening also equals the displayed daily P&amp;L.</x:v>
      </x:c>
    </x:row>
    <x:row r="34" ht="44" customHeight="1">
      <x:c r="A34" s="3" t="str">
        <x:v>Floating cancellation residual</x:v>
      </x:c>
      <x:c r="B34" s="118" t="n">
        <x:f>'Correct Calculation'!B42</x:f>
        <x:v>9339.483684000035</x:v>
      </x:c>
      <x:c r="C34" s="127" t="str">
        <x:v>CONFIRM SCHEDULE</x:v>
      </x:c>
      <x:c r="D34" s="127" t="str">
        <x:v>CONFIRM SCHEDULE</x:v>
      </x:c>
      <x:c r="E34" s="127" t="str">
        <x:v>CONFIRM SCHEDULE</x:v>
      </x:c>
      <x:c r="F34" s="127" t="str">
        <x:v>CONFIRM SCHEDULE</x:v>
      </x:c>
      <x:c r="G34" s="3" t="str">
        <x:v>Equal notional and spread alone do not prove identical fixing / accrual / payment conventions.</x:v>
      </x:c>
    </x:row>
    <x:row r="35" ht="23" customHeight="1">
      <x:c r="A35" s="2"/>
      <x:c r="B35" s="2"/>
      <x:c r="C35" s="2"/>
      <x:c r="D35" s="2"/>
      <x:c r="E35" s="2"/>
      <x:c r="F35" s="2"/>
      <x:c r="G35" s="2"/>
    </x:row>
    <x:row r="36" ht="23" customHeight="1">
      <x:c r="A36" s="2"/>
      <x:c r="B36" s="2"/>
      <x:c r="C36" s="2"/>
      <x:c r="D36" s="2"/>
      <x:c r="E36" s="2"/>
      <x:c r="F36" s="2"/>
      <x:c r="G36" s="2"/>
    </x:row>
    <x:row r="37" ht="56" customHeight="1">
      <x:c r="A37" s="66" t="str">
        <x:v>Independent forward valuation remains unavailable: no full remaining cash-flow schedule, forward funding/discount curve or contractual FX / initial reference-value specification is included in the attachment.</x:v>
      </x:c>
      <x:c r="B37" s="66" t="str">
        <x:v>Independent forward valuation remains unavailable: no full remaining cash-flow schedule, forward funding/discount curve or contractual FX / initial reference-value specification is included in the attachment.</x:v>
      </x:c>
      <x:c r="C37" s="66" t="str">
        <x:v>Independent forward valuation remains unavailable: no full remaining cash-flow schedule, forward funding/discount curve or contractual FX / initial reference-value specification is included in the attachment.</x:v>
      </x:c>
      <x:c r="D37" s="66" t="str">
        <x:v>Independent forward valuation remains unavailable: no full remaining cash-flow schedule, forward funding/discount curve or contractual FX / initial reference-value specification is included in the attachment.</x:v>
      </x:c>
      <x:c r="E37" s="66" t="str">
        <x:v>Independent forward valuation remains unavailable: no full remaining cash-flow schedule, forward funding/discount curve or contractual FX / initial reference-value specification is included in the attachment.</x:v>
      </x:c>
      <x:c r="F37" s="66" t="str">
        <x:v>Independent forward valuation remains unavailable: no full remaining cash-flow schedule, forward funding/discount curve or contractual FX / initial reference-value specification is included in the attachment.</x:v>
      </x:c>
      <x:c r="G37" s="66" t="str">
        <x:v>Independent forward valuation remains unavailable: no full remaining cash-flow schedule, forward funding/discount curve or contractual FX / initial reference-value specification is included in the attachment.</x:v>
      </x:c>
    </x:row>
    <x:row r="38" ht="23" customHeight="1">
      <x:c r="A38" s="2"/>
      <x:c r="B38" s="2"/>
      <x:c r="C38" s="2"/>
      <x:c r="D38" s="2"/>
      <x:c r="E38" s="2"/>
      <x:c r="F38" s="2"/>
      <x:c r="G38" s="2"/>
    </x:row>
    <x:row r="39" ht="23" customHeight="1">
      <x:c r="A39" s="2"/>
      <x:c r="B39" s="2"/>
      <x:c r="C39" s="2"/>
      <x:c r="D39" s="2"/>
      <x:c r="E39" s="2"/>
      <x:c r="F39" s="2"/>
      <x:c r="G39" s="2"/>
    </x:row>
    <x:row r="40" ht="23" customHeight="1">
      <x:c r="A40" s="2"/>
      <x:c r="B40" s="2"/>
      <x:c r="C40" s="2"/>
      <x:c r="D40" s="2"/>
      <x:c r="E40" s="2"/>
      <x:c r="F40" s="2"/>
      <x:c r="G40" s="2"/>
    </x:row>
    <x:row r="41" ht="23" customHeight="1">
      <x:c r="A41" s="2"/>
      <x:c r="B41" s="2"/>
      <x:c r="C41" s="2"/>
      <x:c r="D41" s="2"/>
      <x:c r="E41" s="2"/>
      <x:c r="F41" s="2"/>
      <x:c r="G41" s="2"/>
    </x:row>
    <x:row r="42" ht="23" customHeight="1">
      <x:c r="A42" s="2"/>
      <x:c r="B42" s="2"/>
      <x:c r="C42" s="2"/>
      <x:c r="D42" s="2"/>
      <x:c r="E42" s="2"/>
      <x:c r="F42" s="2"/>
      <x:c r="G42" s="2"/>
    </x:row>
    <x:row r="43" ht="23" customHeight="1">
      <x:c r="A43" s="2"/>
      <x:c r="B43" s="2"/>
      <x:c r="C43" s="2"/>
      <x:c r="D43" s="2"/>
      <x:c r="E43" s="2"/>
      <x:c r="F43" s="2"/>
      <x:c r="G43" s="2"/>
    </x:row>
    <x:row r="44" ht="23" customHeight="1">
      <x:c r="A44" s="2"/>
      <x:c r="B44" s="2"/>
      <x:c r="C44" s="2"/>
      <x:c r="D44" s="2"/>
      <x:c r="E44" s="2"/>
      <x:c r="F44" s="2"/>
      <x:c r="G44" s="2"/>
    </x:row>
  </x:sheetData>
  <x:mergeCells>
    <x:mergeCell ref="A1:G1"/>
    <x:mergeCell ref="A2:G2"/>
    <x:mergeCell ref="A26:G26"/>
    <x:mergeCell ref="C28:F28"/>
    <x:mergeCell ref="C29:F29"/>
    <x:mergeCell ref="C30:F30"/>
    <x:mergeCell ref="C31:F31"/>
    <x:mergeCell ref="C32:F32"/>
    <x:mergeCell ref="C33:F33"/>
    <x:mergeCell ref="C34:F34"/>
    <x:mergeCell ref="A37:G37"/>
  </x:mergeCells>
  <x:conditionalFormatting sqref="F9:F25">
    <x:cfRule type="containsText" dxfId="0" priority="1" operator="containsText" text="OK"/>
    <x:cfRule type="containsText" dxfId="1" priority="2" operator="containsText" text="CHECK"/>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40" hidden="0" customWidth="1"/>
    <x:col min="3" max="3" width="69" hidden="0" customWidth="1"/>
    <x:col min="4" max="4" width="76" hidden="0" customWidth="1"/>
  </x:cols>
  <x:sheetData>
    <x:row r="1" ht="39" customHeight="1">
      <x:c r="A1" s="5" t="str">
        <x:v>METHODOLOGY &amp; AUDIT NOTES</x:v>
      </x:c>
      <x:c r="B1" s="5" t="str">
        <x:v>METHODOLOGY &amp; AUDIT NOTES</x:v>
      </x:c>
      <x:c r="C1" s="5" t="str">
        <x:v>METHODOLOGY &amp; AUDIT NOTES</x:v>
      </x:c>
      <x:c r="D1" s="5" t="str">
        <x:v>METHODOLOGY &amp; AUDIT NOTES</x:v>
      </x:c>
    </x:row>
    <x:row r="2" ht="43" customHeight="1">
      <x:c r="A2" s="6" t="str">
        <x:v>The workbook reproduces what can be reproduced from the attachment and makes the remaining market-data / convention requirements explicit.</x:v>
      </x:c>
      <x:c r="B2" s="3" t="str">
        <x:v>The workbook reproduces what can be reproduced from the attachment and makes the remaining market-data / convention requirements explicit.</x:v>
      </x:c>
      <x:c r="C2" s="3" t="str">
        <x:v>The workbook reproduces what can be reproduced from the attachment and makes the remaining market-data / convention requirements explicit.</x:v>
      </x:c>
      <x:c r="D2" s="3" t="str">
        <x:v>The workbook reproduces what can be reproduced from the attachment and makes the remaining market-data / convention requirements explicit.</x:v>
      </x:c>
    </x:row>
    <x:row r="3" ht="23" customHeight="1">
      <x:c r="A3" s="2"/>
      <x:c r="B3" s="2"/>
      <x:c r="C3" s="2"/>
      <x:c r="D3" s="2"/>
    </x:row>
    <x:row r="4" ht="34" customHeight="1">
      <x:c r="A4" s="9" t="str">
        <x:v>#</x:v>
      </x:c>
      <x:c r="B4" s="9" t="str">
        <x:v>Topic</x:v>
      </x:c>
      <x:c r="C4" s="9" t="str">
        <x:v>Treatment</x:v>
      </x:c>
      <x:c r="D4" s="9" t="str">
        <x:v>Evidence / next step</x:v>
      </x:c>
    </x:row>
    <x:row r="5" ht="83" customHeight="1">
      <x:c r="A5" s="3" t="str">
        <x:v>01</x:v>
      </x:c>
      <x:c r="B5" s="3" t="str">
        <x:v>Scope and signs</x:v>
      </x:c>
      <x:c r="C5" s="3" t="str">
        <x:v>Two tickets only: pay the CNY bond total return, receive USD SOFR + 62.3 bp; the Summit swap pays the floating leg and receives 4.3%. Price up means package MTM down.</x:v>
      </x:c>
      <x:c r="D5" s="3" t="str">
        <x:v>I01 and I19. No separate physical bond holding was supplied.</x:v>
      </x:c>
    </x:row>
    <x:row r="6" ht="83" customHeight="1">
      <x:c r="A6" s="3" t="str">
        <x:v>02</x:v>
      </x:c>
      <x:c r="B6" s="3" t="str">
        <x:v>What is exactly reconciled?</x:v>
      </x:c>
      <x:c r="C6" s="3" t="str">
        <x:v>The 4-Aug baseline clean bond value, rounded bond AI, local and translated closing balances, and the primary reported USD YTD total.</x:v>
      </x:c>
      <x:c r="D6" s="3" t="str">
        <x:v>Primary YTD source: I09, CB / CD. Source observations are retained on Source Data and all original images are preserved.</x:v>
      </x:c>
    </x:row>
    <x:row r="7" ht="83" customHeight="1">
      <x:c r="A7" s="3" t="str">
        <x:v>03</x:v>
      </x:c>
      <x:c r="B7" s="3" t="str">
        <x:v>What still uses a report anchor?</x:v>
      </x:c>
      <x:c r="C7" s="3" t="str">
        <x:v>USD 504,670.22 accrued funding and the USD 207,594.02 YTD-minus-closing bridge. Those source observations cannot be independently reconstructed from spread and EOD bond price alone.</x:v>
      </x:c>
      <x:c r="D7" s="3" t="str">
        <x:v>The model labels these dependencies. No reverse-solved rate is represented as an actual market fixing.</x:v>
      </x:c>
    </x:row>
    <x:row r="8" ht="83" customHeight="1">
      <x:c r="A8" s="3" t="str">
        <x:v>04</x:v>
      </x:c>
      <x:c r="B8" s="3" t="str">
        <x:v>The correct MTM definition</x:v>
      </x:c>
      <x:c r="C8" s="3" t="str">
        <x:v>Convert the negative dirty bond mark to USD, add USD financing principal, add funding accrual, then add the provided swap PV once. Current MTM and accumulated report YTD are different metrics here.</x:v>
      </x:c>
      <x:c r="D8" s="3" t="str">
        <x:v>The closing-value reconstruction is conditional on the source’s booked financing and accrual conventions. It is not a full independent forward valuation.</x:v>
      </x:c>
    </x:row>
    <x:row r="9" ht="83" customHeight="1">
      <x:c r="A9" s="3" t="str">
        <x:v>05</x:v>
      </x:c>
      <x:c r="B9" s="3" t="str">
        <x:v>YTD roll-forward</x:v>
      </x:c>
      <x:c r="C9" s="3" t="str">
        <x:v>A current-value YTD measure is closing PV minus prior-year PV plus cash. For new 2026 tickets and zero shown cash, that gives the current closing package value, subject to opening-balance / predecessor assumptions.</x:v>
      </x:c>
      <x:c r="D9" s="3" t="str">
        <x:v>To reproduce the source reporting metric, also retain the observed historical YTD / BS bridge. Its cause is unproven without ledger history.</x:v>
      </x:c>
    </x:row>
    <x:row r="10" ht="83" customHeight="1">
      <x:c r="A10" s="3" t="str">
        <x:v>06</x:v>
      </x:c>
      <x:c r="B10" s="3" t="str">
        <x:v>Native currency of top NPV</x:v>
      </x:c>
      <x:c r="C10" s="3" t="str">
        <x:v>The top TRS NPV of 123,734.90 is CNY. CNY dirty bond mark plus the USD funding leg multiplied by inferred reporting FX reproduces it within source rounding.</x:v>
      </x:c>
      <x:c r="D10" s="3" t="str">
        <x:v>I01 Currency = CNY; I03 NPV / ACCRUAL; I07 / I09 translated balances.</x:v>
      </x:c>
    </x:row>
    <x:row r="11" ht="83" customHeight="1">
      <x:c r="A11" s="3" t="str">
        <x:v>07</x:v>
      </x:c>
      <x:c r="B11" s="3" t="str">
        <x:v>Swap PV versus accrued interest</x:v>
      </x:c>
      <x:c r="C11" s="3" t="str">
        <x:v>USD 5,616.06 is the supplied swap closing balance / YTD PV. The separately shown USD 5,100.28 accrual must not be added again.</x:v>
      </x:c>
      <x:c r="D11" s="3" t="str">
        <x:v>I05 and I07 / I09. Swap PV is held fixed under bond-price changes, as requested.</x:v>
      </x:c>
    </x:row>
    <x:row r="12" ht="83" customHeight="1">
      <x:c r="A12" s="3" t="str">
        <x:v>08</x:v>
      </x:c>
      <x:c r="B12" s="3" t="str">
        <x:v>Bond coupon and day count</x:v>
      </x:c>
      <x:c r="C12" s="3" t="str">
        <x:v>Annual 3.02%, a 6-Mar coupon date, 152 days / 365 and five-decimal per-100 rounding reproduce AI_TR exactly. These schedule / settlement conventions are inferred from the supplied text and observed amount.</x:v>
      </x:c>
      <x:c r="D12" s="3" t="str">
        <x:v>A strict 4-Aug cut-off has 151 days. The diagnostic changes only bond AI and is not asserted to be the contractually correct cut-off.</x:v>
      </x:c>
    </x:row>
    <x:row r="13" ht="83" customHeight="1">
      <x:c r="A13" s="3" t="str">
        <x:v>09</x:v>
      </x:c>
      <x:c r="B13" s="3" t="str">
        <x:v>Reporting FX</x:v>
      </x:c>
      <x:c r="C13" s="3" t="str">
        <x:v>The matched source BS rows imply 6.7527 CNY per USD. The “Today FX = 1” attribution field is not the reporting conversion rate.</x:v>
      </x:c>
      <x:c r="D13" s="3" t="str">
        <x:v>I07 / I09 versus I16 / BN. No independently supplied FX quote is in the attachment.</x:v>
      </x:c>
    </x:row>
    <x:row r="14" ht="83" customHeight="1">
      <x:c r="A14" s="3" t="str">
        <x:v>10</x:v>
      </x:c>
      <x:c r="B14" s="3" t="str">
        <x:v>Funding and floating-leg cancellation</x:v>
      </x:c>
      <x:c r="C14" s="3" t="str">
        <x:v>Matching notional, spread and a similar maturity do not prove matching observations, averaging, compounding, accrual dates or payment dates. The fixed-accrual shortcut fails the source diagnostic.</x:v>
      </x:c>
      <x:c r="D14" s="3" t="str">
        <x:v>Confirm full TRS and swap schedules, fixing rules, lookback / lag, holiday handling, spread compounding and payment dates.</x:v>
      </x:c>
    </x:row>
    <x:row r="15" ht="83" customHeight="1">
      <x:c r="A15" s="3" t="str">
        <x:v>11</x:v>
      </x:c>
      <x:c r="B15" s="3" t="str">
        <x:v>Optional fixing model</x:v>
      </x:c>
      <x:c r="C15" s="3" t="str">
        <x:v>Funding Detail supports a simple-average path and SOFR-only compounding plus simple spread. All fixings start blank. Output is blank until every rate and the convention are confirmed.</x:v>
      </x:c>
      <x:c r="D15" s="3" t="str">
        <x:v>The rate for each accrual day must reflect the contractual observation rules. This is historical accrual, not valuation of remaining forward cash flows.</x:v>
      </x:c>
    </x:row>
    <x:row r="16" ht="83" customHeight="1">
      <x:c r="A16" s="3" t="str">
        <x:v>12</x:v>
      </x:c>
      <x:c r="B16" s="3" t="str">
        <x:v>COF</x:v>
      </x:c>
      <x:c r="C16" s="3" t="str">
        <x:v>Known TRS YTD COF is added only in a separate performance bridge. It is not a second component of derivative closing PV.</x:v>
      </x:c>
      <x:c r="D16" s="3" t="str">
        <x:v>I17 contains two TRS COF amounts. No swap COF is supplied, so the workbook does not label this as complete after-all-COF package P&amp;L.</x:v>
      </x:c>
    </x:row>
    <x:row r="17" ht="83" customHeight="1">
      <x:c r="A17" s="3" t="str">
        <x:v>13</x:v>
      </x:c>
      <x:c r="B17" s="3" t="str">
        <x:v>Source differences and consistency</x:v>
      </x:c>
      <x:c r="C17" s="3" t="str">
        <x:v>I13 CNY-row YTD differs from I09 by USD 0.03. Opening-to-closing MTM changes reconcile to displayed daily P&amp;L for both the CNY and USD TRS rows.</x:v>
      </x:c>
      <x:c r="D17" s="3" t="str">
        <x:v>Checks retains the 0.03 YTD gap and confirms the daily movements. No source value has been silently altered to force a match.</x:v>
      </x:c>
    </x:row>
    <x:row r="18" ht="83" customHeight="1">
      <x:c r="A18" s="3" t="str">
        <x:v>14</x:v>
      </x:c>
      <x:c r="B18" s="3" t="str">
        <x:v>Swap date inconsistency</x:v>
      </x:c>
      <x:c r="C18" s="3" t="str">
        <x:v>The P&amp;L report shows 22-Sep-2026 maturity and a 7-Aug amendment date; the 4-Aug swap ticket shows 18-Sep-2026 end date.</x:v>
      </x:c>
      <x:c r="D18" s="3" t="str">
        <x:v>Because the user permits the supplied PV, the workbook does not invent a revised swap schedule or reprice the swap.</x:v>
      </x:c>
    </x:row>
    <x:row r="19" ht="83" customHeight="1">
      <x:c r="A19" s="3" t="str">
        <x:v>15</x:v>
      </x:c>
      <x:c r="B19" s="3" t="str">
        <x:v>Price-only sensitivity</x:v>
      </x:c>
      <x:c r="C19" s="3" t="str">
        <x:v>Recompute signed nominal × (scenario clean price + fixed accrued price) / 100, translate at the same current FX, and add unchanged other legs and historical bridge.</x:v>
      </x:c>
      <x:c r="D19" s="3" t="str">
        <x:v>Do not divide by a YTD-implied “average FX”; that would give a different and unsupported price slope.</x:v>
      </x:c>
    </x:row>
    <x:row r="20" ht="83" customHeight="1">
      <x:c r="A20" s="3" t="str">
        <x:v>16</x:v>
      </x:c>
      <x:c r="B20" s="3" t="str">
        <x:v>To remove all material report anchors</x:v>
      </x:c>
      <x:c r="C20" s="3" t="str">
        <x:v>Provide the TRS confirmation, initial reference / dirty price and FX terms; complete SOFR history; funding payment/reset schedule; discount / forward curves; opening balances, cash and daily FX / ledger history.</x:v>
      </x:c>
      <x:c r="D20" s="3" t="str">
        <x:v>Until then, the workbook delivers a transparent report replication and a conditional consistent-FX reconstruction, with full independence explicitly marked unavailable.</x:v>
      </x:c>
    </x:row>
    <x:row r="21" ht="83" customHeight="1">
      <x:c r="A21" s="3" t="str">
        <x:v>17</x:v>
      </x:c>
      <x:c r="B21" s="3" t="str">
        <x:v>General pricing reference</x:v>
      </x:c>
      <x:c r="C21" s="3" t="str">
        <x:v>Clean prices exclude accrued interest; adding accrued interest produces the dirty settlement value. Used only as a general conceptual reference, not to supply any trade-specific input.</x:v>
      </x:c>
      <x:c r="D21" s="3" t="str">
        <x:v>CME BrokerTec EU RM Bonds Appendix, sections 6.1 / 7.1. https://www.cmegroup.com/trading/market-tech-and-data-services/files/brokertec-eu-rm-rulebook-bonds-appendix-20210118.pdf</x:v>
      </x:c>
    </x:row>
    <x:row r="22" ht="83" customHeight="1">
      <x:c r="A22" s="3" t="str">
        <x:v>18</x:v>
      </x:c>
      <x:c r="B22" s="3" t="str">
        <x:v>Input / formula distinction</x:v>
      </x:c>
      <x:c r="C22" s="3" t="str">
        <x:v>Only trade terms, scenario controls and clearly marked model conventions sit in the editable input section. All model amounts, scenario outputs, reconciliations and diagnostic calculations are Excel formulas.</x:v>
      </x:c>
      <x:c r="D22" s="3" t="str">
        <x:v>Hardcoded screenshots / transcribed report observations are evidence. A formula pointing to a report observation is explicitly labelled a source dependency, not an independent recalculation.</x:v>
      </x:c>
    </x:row>
    <x:row r="23" ht="23" customHeight="1">
      <x:c r="A23" s="2"/>
      <x:c r="B23" s="2"/>
      <x:c r="C23" s="2"/>
      <x:c r="D23" s="2"/>
    </x:row>
    <x:row r="24" ht="23" customHeight="1">
      <x:c r="A24" s="2"/>
      <x:c r="B24" s="2"/>
      <x:c r="C24" s="2"/>
      <x:c r="D24" s="2"/>
    </x:row>
    <x:row r="25" ht="23" customHeight="1">
      <x:c r="A25" s="2"/>
      <x:c r="B25" s="2"/>
      <x:c r="C25" s="2"/>
      <x:c r="D25" s="2"/>
    </x:row>
    <x:row r="26" ht="23" customHeight="1">
      <x:c r="A26" s="2"/>
      <x:c r="B26" s="2"/>
      <x:c r="C26" s="2"/>
      <x:c r="D26" s="2"/>
    </x:row>
    <x:row r="27" ht="23" customHeight="1">
      <x:c r="A27" s="2"/>
      <x:c r="B27" s="2"/>
      <x:c r="C27" s="2"/>
      <x:c r="D27" s="2"/>
    </x:row>
    <x:row r="28" ht="23" customHeight="1">
      <x:c r="A28" s="2"/>
      <x:c r="B28" s="2"/>
      <x:c r="C28" s="2"/>
      <x:c r="D28" s="2"/>
    </x:row>
    <x:row r="29" ht="23" customHeight="1">
      <x:c r="A29" s="2"/>
      <x:c r="B29" s="2"/>
      <x:c r="C29" s="2"/>
      <x:c r="D29" s="2"/>
    </x:row>
    <x:row r="30" ht="23" customHeight="1">
      <x:c r="A30" s="2"/>
      <x:c r="B30" s="2"/>
      <x:c r="C30" s="2"/>
      <x:c r="D30" s="2"/>
    </x:row>
    <x:row r="31" ht="23" customHeight="1">
      <x:c r="A31" s="2"/>
      <x:c r="B31" s="2"/>
      <x:c r="C31" s="2"/>
      <x:c r="D31" s="2"/>
    </x:row>
    <x:row r="32" ht="23" customHeight="1">
      <x:c r="A32" s="2"/>
      <x:c r="B32" s="2"/>
      <x:c r="C32" s="2"/>
      <x:c r="D32" s="2"/>
    </x:row>
    <x:row r="33" ht="23" customHeight="1">
      <x:c r="A33" s="2"/>
      <x:c r="B33" s="2"/>
      <x:c r="C33" s="2"/>
      <x:c r="D33" s="2"/>
    </x:row>
    <x:row r="34" ht="23" customHeight="1">
      <x:c r="A34" s="2"/>
      <x:c r="B34" s="2"/>
      <x:c r="C34" s="2"/>
      <x:c r="D34" s="2"/>
    </x:row>
    <x:row r="35" ht="23" customHeight="1">
      <x:c r="A35" s="2"/>
      <x:c r="B35" s="2"/>
      <x:c r="C35" s="2"/>
      <x:c r="D35" s="2"/>
    </x:row>
    <x:row r="36" ht="23" customHeight="1">
      <x:c r="A36" s="2"/>
      <x:c r="B36" s="2"/>
      <x:c r="C36" s="2"/>
      <x:c r="D36" s="2"/>
    </x:row>
    <x:row r="37" ht="23" customHeight="1">
      <x:c r="A37" s="2"/>
      <x:c r="B37" s="2"/>
      <x:c r="C37" s="2"/>
      <x:c r="D37" s="2"/>
    </x:row>
  </x:sheetData>
  <x:mergeCells>
    <x:mergeCell ref="A1:D1"/>
    <x:mergeCell ref="A2:D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0" hidden="0" customWidth="1"/>
    <x:col min="23" max="23" width="10" hidden="0" customWidth="1"/>
    <x:col min="24" max="24" width="10" hidden="0" customWidth="1"/>
    <x:col min="25" max="25" width="10" hidden="0" customWidth="1"/>
    <x:col min="26" max="26" width="10" hidden="0" customWidth="1"/>
  </x:cols>
  <x:sheetData>
    <x:row r="1" ht="39" customHeight="1">
      <x:c r="A1" s="5" t="str">
        <x:v>ORIGINAL SCREENSHOTS | ALL 19 IMAGES</x:v>
      </x:c>
      <x:c r="B1" s="5" t="str">
        <x:v>ORIGINAL SCREENSHOTS | ALL 19 IMAGES</x:v>
      </x:c>
      <x:c r="C1" s="5" t="str">
        <x:v>ORIGINAL SCREENSHOTS | ALL 19 IMAGES</x:v>
      </x:c>
      <x:c r="D1" s="5" t="str">
        <x:v>ORIGINAL SCREENSHOTS | ALL 19 IMAGES</x:v>
      </x:c>
      <x:c r="E1" s="5" t="str">
        <x:v>ORIGINAL SCREENSHOTS | ALL 19 IMAGES</x:v>
      </x:c>
      <x:c r="F1" s="5" t="str">
        <x:v>ORIGINAL SCREENSHOTS | ALL 19 IMAGES</x:v>
      </x:c>
      <x:c r="G1" s="5" t="str">
        <x:v>ORIGINAL SCREENSHOTS | ALL 19 IMAGES</x:v>
      </x:c>
      <x:c r="H1" s="5" t="str">
        <x:v>ORIGINAL SCREENSHOTS | ALL 19 IMAGES</x:v>
      </x:c>
      <x:c r="I1" s="5" t="str">
        <x:v>ORIGINAL SCREENSHOTS | ALL 19 IMAGES</x:v>
      </x:c>
      <x:c r="J1" s="5" t="str">
        <x:v>ORIGINAL SCREENSHOTS | ALL 19 IMAGES</x:v>
      </x:c>
      <x:c r="K1" s="5" t="str">
        <x:v>ORIGINAL SCREENSHOTS | ALL 19 IMAGES</x:v>
      </x:c>
      <x:c r="L1" s="5" t="str">
        <x:v>ORIGINAL SCREENSHOTS | ALL 19 IMAGES</x:v>
      </x:c>
      <x:c r="M1" s="5" t="str">
        <x:v>ORIGINAL SCREENSHOTS | ALL 19 IMAGES</x:v>
      </x:c>
      <x:c r="N1" s="5" t="str">
        <x:v>ORIGINAL SCREENSHOTS | ALL 19 IMAGES</x:v>
      </x:c>
      <x:c r="O1" s="5" t="str">
        <x:v>ORIGINAL SCREENSHOTS | ALL 19 IMAGES</x:v>
      </x:c>
      <x:c r="P1" s="5" t="str">
        <x:v>ORIGINAL SCREENSHOTS | ALL 19 IMAGES</x:v>
      </x:c>
      <x:c r="Q1" s="5" t="str">
        <x:v>ORIGINAL SCREENSHOTS | ALL 19 IMAGES</x:v>
      </x:c>
      <x:c r="R1" s="5" t="str">
        <x:v>ORIGINAL SCREENSHOTS | ALL 19 IMAGES</x:v>
      </x:c>
      <x:c r="S1" s="5" t="str">
        <x:v>ORIGINAL SCREENSHOTS | ALL 19 IMAGES</x:v>
      </x:c>
      <x:c r="T1" s="5" t="str">
        <x:v>ORIGINAL SCREENSHOTS | ALL 19 IMAGES</x:v>
      </x:c>
      <x:c r="U1" s="5" t="str">
        <x:v>ORIGINAL SCREENSHOTS | ALL 19 IMAGES</x:v>
      </x:c>
      <x:c r="V1" s="5" t="str">
        <x:v>ORIGINAL SCREENSHOTS | ALL 19 IMAGES</x:v>
      </x:c>
      <x:c r="W1" s="5" t="str">
        <x:v>ORIGINAL SCREENSHOTS | ALL 19 IMAGES</x:v>
      </x:c>
      <x:c r="X1" s="5" t="str">
        <x:v>ORIGINAL SCREENSHOTS | ALL 19 IMAGES</x:v>
      </x:c>
      <x:c r="Y1" s="5" t="str">
        <x:v>ORIGINAL SCREENSHOTS | ALL 19 IMAGES</x:v>
      </x:c>
      <x:c r="Z1" s="5" t="str">
        <x:v>ORIGINAL SCREENSHOTS | ALL 19 IMAGES</x:v>
      </x:c>
      <x:c r="AA1" s="5" t="str">
        <x:v>ORIGINAL SCREENSHOTS | ALL 19 IMAGES</x:v>
      </x:c>
    </x:row>
    <x:row r="2" ht="43" customHeight="1">
      <x:c r="A2" s="6" t="str">
        <x:v>I01–I19 refer to the image order below. Original picture names skip Picture 6; no image was omitted. Images are retained at their original pixel dimensions.</x:v>
      </x:c>
      <x:c r="B2" s="3" t="str">
        <x:v>I01–I19 refer to the image order below. Original picture names skip Picture 6; no image was omitted. Images are retained at their original pixel dimensions.</x:v>
      </x:c>
      <x:c r="C2" s="3" t="str">
        <x:v>I01–I19 refer to the image order below. Original picture names skip Picture 6; no image was omitted. Images are retained at their original pixel dimensions.</x:v>
      </x:c>
      <x:c r="D2" s="3" t="str">
        <x:v>I01–I19 refer to the image order below. Original picture names skip Picture 6; no image was omitted. Images are retained at their original pixel dimensions.</x:v>
      </x:c>
      <x:c r="E2" s="3" t="str">
        <x:v>I01–I19 refer to the image order below. Original picture names skip Picture 6; no image was omitted. Images are retained at their original pixel dimensions.</x:v>
      </x:c>
      <x:c r="F2" s="3" t="str">
        <x:v>I01–I19 refer to the image order below. Original picture names skip Picture 6; no image was omitted. Images are retained at their original pixel dimensions.</x:v>
      </x:c>
      <x:c r="G2" s="3" t="str">
        <x:v>I01–I19 refer to the image order below. Original picture names skip Picture 6; no image was omitted. Images are retained at their original pixel dimensions.</x:v>
      </x:c>
      <x:c r="H2" s="3" t="str">
        <x:v>I01–I19 refer to the image order below. Original picture names skip Picture 6; no image was omitted. Images are retained at their original pixel dimensions.</x:v>
      </x:c>
      <x:c r="I2" s="3" t="str">
        <x:v>I01–I19 refer to the image order below. Original picture names skip Picture 6; no image was omitted. Images are retained at their original pixel dimensions.</x:v>
      </x:c>
      <x:c r="J2" s="3" t="str">
        <x:v>I01–I19 refer to the image order below. Original picture names skip Picture 6; no image was omitted. Images are retained at their original pixel dimensions.</x:v>
      </x:c>
      <x:c r="K2" s="3" t="str">
        <x:v>I01–I19 refer to the image order below. Original picture names skip Picture 6; no image was omitted. Images are retained at their original pixel dimensions.</x:v>
      </x:c>
      <x:c r="L2" s="3" t="str">
        <x:v>I01–I19 refer to the image order below. Original picture names skip Picture 6; no image was omitted. Images are retained at their original pixel dimensions.</x:v>
      </x:c>
      <x:c r="M2" s="3" t="str">
        <x:v>I01–I19 refer to the image order below. Original picture names skip Picture 6; no image was omitted. Images are retained at their original pixel dimensions.</x:v>
      </x:c>
      <x:c r="N2" s="3" t="str">
        <x:v>I01–I19 refer to the image order below. Original picture names skip Picture 6; no image was omitted. Images are retained at their original pixel dimensions.</x:v>
      </x:c>
      <x:c r="O2" s="3" t="str">
        <x:v>I01–I19 refer to the image order below. Original picture names skip Picture 6; no image was omitted. Images are retained at their original pixel dimensions.</x:v>
      </x:c>
      <x:c r="P2" s="3" t="str">
        <x:v>I01–I19 refer to the image order below. Original picture names skip Picture 6; no image was omitted. Images are retained at their original pixel dimensions.</x:v>
      </x:c>
      <x:c r="Q2" s="3" t="str">
        <x:v>I01–I19 refer to the image order below. Original picture names skip Picture 6; no image was omitted. Images are retained at their original pixel dimensions.</x:v>
      </x:c>
      <x:c r="R2" s="3" t="str">
        <x:v>I01–I19 refer to the image order below. Original picture names skip Picture 6; no image was omitted. Images are retained at their original pixel dimensions.</x:v>
      </x:c>
      <x:c r="S2" s="3" t="str">
        <x:v>I01–I19 refer to the image order below. Original picture names skip Picture 6; no image was omitted. Images are retained at their original pixel dimensions.</x:v>
      </x:c>
      <x:c r="T2" s="3" t="str">
        <x:v>I01–I19 refer to the image order below. Original picture names skip Picture 6; no image was omitted. Images are retained at their original pixel dimensions.</x:v>
      </x:c>
      <x:c r="U2" s="3" t="str">
        <x:v>I01–I19 refer to the image order below. Original picture names skip Picture 6; no image was omitted. Images are retained at their original pixel dimensions.</x:v>
      </x:c>
      <x:c r="V2" s="3" t="str">
        <x:v>I01–I19 refer to the image order below. Original picture names skip Picture 6; no image was omitted. Images are retained at their original pixel dimensions.</x:v>
      </x:c>
      <x:c r="W2" s="3" t="str">
        <x:v>I01–I19 refer to the image order below. Original picture names skip Picture 6; no image was omitted. Images are retained at their original pixel dimensions.</x:v>
      </x:c>
      <x:c r="X2" s="3" t="str">
        <x:v>I01–I19 refer to the image order below. Original picture names skip Picture 6; no image was omitted. Images are retained at their original pixel dimensions.</x:v>
      </x:c>
      <x:c r="Y2" s="3" t="str">
        <x:v>I01–I19 refer to the image order below. Original picture names skip Picture 6; no image was omitted. Images are retained at their original pixel dimensions.</x:v>
      </x:c>
      <x:c r="Z2" s="3" t="str">
        <x:v>I01–I19 refer to the image order below. Original picture names skip Picture 6; no image was omitted. Images are retained at their original pixel dimensions.</x:v>
      </x:c>
      <x:c r="AA2" s="3" t="str">
        <x:v>I01–I19 refer to the image order below. Original picture names skip Picture 6; no image was omitted. Images are retained at their original pixel dimensions.</x:v>
      </x:c>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3"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row>
    <x:row r="5" ht="23" customHeight="1">
      <x:c r="A5" s="9" t="str">
        <x:v>I01 | Picture 1 | TRS product, direction and currency | source Sheet1 row 1</x:v>
      </x:c>
      <x:c r="B5" s="113" t="str">
        <x:v>I01 | Picture 1 | TRS product, direction and currency | source Sheet1 row 1</x:v>
      </x:c>
      <x:c r="C5" s="113" t="str">
        <x:v>I01 | Picture 1 | TRS product, direction and currency | source Sheet1 row 1</x:v>
      </x:c>
      <x:c r="D5" s="113" t="str">
        <x:v>I01 | Picture 1 | TRS product, direction and currency | source Sheet1 row 1</x:v>
      </x:c>
      <x:c r="E5" s="113" t="str">
        <x:v>I01 | Picture 1 | TRS product, direction and currency | source Sheet1 row 1</x:v>
      </x:c>
      <x:c r="F5" s="113" t="str">
        <x:v>I01 | Picture 1 | TRS product, direction and currency | source Sheet1 row 1</x:v>
      </x:c>
      <x:c r="G5" s="113" t="str">
        <x:v>I01 | Picture 1 | TRS product, direction and currency | source Sheet1 row 1</x:v>
      </x:c>
      <x:c r="H5" s="113" t="str">
        <x:v>I01 | Picture 1 | TRS product, direction and currency | source Sheet1 row 1</x:v>
      </x:c>
      <x:c r="I5" s="113" t="str">
        <x:v>I01 | Picture 1 | TRS product, direction and currency | source Sheet1 row 1</x:v>
      </x:c>
      <x:c r="J5" s="113" t="str">
        <x:v>I01 | Picture 1 | TRS product, direction and currency | source Sheet1 row 1</x:v>
      </x:c>
      <x:c r="K5" s="113" t="str">
        <x:v>I01 | Picture 1 | TRS product, direction and currency | source Sheet1 row 1</x:v>
      </x:c>
      <x:c r="L5" s="113" t="str">
        <x:v>I01 | Picture 1 | TRS product, direction and currency | source Sheet1 row 1</x:v>
      </x:c>
      <x:c r="M5" s="113" t="str">
        <x:v>I01 | Picture 1 | TRS product, direction and currency | source Sheet1 row 1</x:v>
      </x:c>
      <x:c r="N5" s="113" t="str">
        <x:v>I01 | Picture 1 | TRS product, direction and currency | source Sheet1 row 1</x:v>
      </x:c>
      <x:c r="O5" s="113" t="str">
        <x:v>I01 | Picture 1 | TRS product, direction and currency | source Sheet1 row 1</x:v>
      </x:c>
      <x:c r="P5" s="113" t="str">
        <x:v>I01 | Picture 1 | TRS product, direction and currency | source Sheet1 row 1</x:v>
      </x:c>
      <x:c r="Q5" s="113" t="str">
        <x:v>I01 | Picture 1 | TRS product, direction and currency | source Sheet1 row 1</x:v>
      </x:c>
      <x:c r="R5" s="113" t="str">
        <x:v>I01 | Picture 1 | TRS product, direction and currency | source Sheet1 row 1</x:v>
      </x:c>
      <x:c r="S5" s="113" t="str">
        <x:v>I01 | Picture 1 | TRS product, direction and currency | source Sheet1 row 1</x:v>
      </x:c>
      <x:c r="T5" s="113" t="str">
        <x:v>I01 | Picture 1 | TRS product, direction and currency | source Sheet1 row 1</x:v>
      </x:c>
      <x:c r="U5" s="113" t="str">
        <x:v>I01 | Picture 1 | TRS product, direction and currency | source Sheet1 row 1</x:v>
      </x:c>
      <x:c r="V5" s="113" t="str">
        <x:v>I01 | Picture 1 | TRS product, direction and currency | source Sheet1 row 1</x:v>
      </x:c>
      <x:c r="W5" s="113" t="str">
        <x:v>I01 | Picture 1 | TRS product, direction and currency | source Sheet1 row 1</x:v>
      </x:c>
      <x:c r="X5" s="113" t="str">
        <x:v>I01 | Picture 1 | TRS product, direction and currency | source Sheet1 row 1</x:v>
      </x:c>
      <x:c r="Y5" s="113" t="str">
        <x:v>I01 | Picture 1 | TRS product, direction and currency | source Sheet1 row 1</x:v>
      </x:c>
      <x:c r="Z5" s="113" t="str">
        <x:v>I01 | Picture 1 | TRS product, direction and currency | source Sheet1 row 1</x:v>
      </x:c>
      <x:c r="AA5" s="113" t="str">
        <x:v>I01 | Picture 1 | TRS product, direction and currency | source Sheet1 row 1</x:v>
      </x:c>
    </x:row>
    <x:row r="6" ht="23" customHeight="1">
      <x:c r="A6" s="2"/>
      <x:c r="B6" s="2"/>
      <x:c r="C6" s="2"/>
      <x:c r="D6" s="2"/>
      <x:c r="E6" s="2"/>
      <x:c r="F6" s="2"/>
      <x:c r="G6" s="2"/>
      <x:c r="H6" s="2"/>
      <x:c r="I6" s="2"/>
      <x:c r="J6" s="2"/>
      <x:c r="K6" s="2"/>
      <x:c r="L6" s="2"/>
      <x:c r="M6" s="2"/>
      <x:c r="N6" s="2"/>
      <x:c r="O6" s="2"/>
      <x:c r="P6" s="2"/>
      <x:c r="Q6" s="2"/>
      <x:c r="R6" s="2"/>
      <x:c r="S6" s="2"/>
      <x:c r="T6" s="2"/>
      <x:c r="U6" s="2"/>
      <x:c r="V6" s="2"/>
      <x:c r="W6" s="2"/>
      <x:c r="X6" s="2"/>
      <x:c r="Y6" s="2"/>
      <x:c r="Z6" s="2"/>
      <x:c r="AA6" s="2"/>
    </x:row>
    <x:row r="7" ht="23"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row>
    <x:row r="8" ht="23" customHeight="1">
      <x:c r="A8" s="2"/>
      <x:c r="B8" s="2"/>
      <x:c r="C8" s="2"/>
      <x:c r="D8" s="2"/>
      <x:c r="E8" s="2"/>
      <x:c r="F8" s="2"/>
      <x:c r="G8" s="2"/>
      <x:c r="H8" s="2"/>
      <x:c r="I8" s="2"/>
      <x:c r="J8" s="2"/>
      <x:c r="K8" s="2"/>
      <x:c r="L8" s="2"/>
      <x:c r="M8" s="2"/>
      <x:c r="N8" s="2"/>
      <x:c r="O8" s="2"/>
      <x:c r="P8" s="2"/>
      <x:c r="Q8" s="2"/>
      <x:c r="R8" s="2"/>
      <x:c r="S8" s="2"/>
      <x:c r="T8" s="2"/>
      <x:c r="U8" s="2"/>
      <x:c r="V8" s="2"/>
      <x:c r="W8" s="2"/>
      <x:c r="X8" s="2"/>
      <x:c r="Y8" s="2"/>
      <x:c r="Z8" s="2"/>
      <x:c r="AA8" s="2"/>
    </x:row>
    <x:row r="9" ht="23" customHeight="1">
      <x:c r="A9" s="2"/>
      <x:c r="B9" s="2"/>
      <x:c r="C9" s="2"/>
      <x:c r="D9" s="2"/>
      <x:c r="E9" s="2"/>
      <x:c r="F9" s="2"/>
      <x:c r="G9" s="2"/>
      <x:c r="H9" s="2"/>
      <x:c r="I9" s="2"/>
      <x:c r="J9" s="2"/>
      <x:c r="K9" s="2"/>
      <x:c r="L9" s="2"/>
      <x:c r="M9" s="2"/>
      <x:c r="N9" s="2"/>
      <x:c r="O9" s="2"/>
      <x:c r="P9" s="2"/>
      <x:c r="Q9" s="2"/>
      <x:c r="R9" s="2"/>
      <x:c r="S9" s="2"/>
      <x:c r="T9" s="2"/>
      <x:c r="U9" s="2"/>
      <x:c r="V9" s="2"/>
      <x:c r="W9" s="2"/>
      <x:c r="X9" s="2"/>
      <x:c r="Y9" s="2"/>
      <x:c r="Z9" s="2"/>
      <x:c r="AA9" s="2"/>
    </x:row>
    <x:row r="10" ht="23" customHeight="1">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c r="AA10" s="2"/>
    </x:row>
    <x:row r="11" ht="23" customHeight="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c r="AA11" s="2"/>
    </x:row>
    <x:row r="12" ht="23" customHeight="1">
      <x:c r="A12" s="9" t="str">
        <x:v>I02 | Picture 2 | TRS status, trade dates and spread | source Sheet1 row 6</x:v>
      </x:c>
      <x:c r="B12" s="113" t="str">
        <x:v>I02 | Picture 2 | TRS status, trade dates and spread | source Sheet1 row 6</x:v>
      </x:c>
      <x:c r="C12" s="113" t="str">
        <x:v>I02 | Picture 2 | TRS status, trade dates and spread | source Sheet1 row 6</x:v>
      </x:c>
      <x:c r="D12" s="113" t="str">
        <x:v>I02 | Picture 2 | TRS status, trade dates and spread | source Sheet1 row 6</x:v>
      </x:c>
      <x:c r="E12" s="113" t="str">
        <x:v>I02 | Picture 2 | TRS status, trade dates and spread | source Sheet1 row 6</x:v>
      </x:c>
      <x:c r="F12" s="113" t="str">
        <x:v>I02 | Picture 2 | TRS status, trade dates and spread | source Sheet1 row 6</x:v>
      </x:c>
      <x:c r="G12" s="113" t="str">
        <x:v>I02 | Picture 2 | TRS status, trade dates and spread | source Sheet1 row 6</x:v>
      </x:c>
      <x:c r="H12" s="113" t="str">
        <x:v>I02 | Picture 2 | TRS status, trade dates and spread | source Sheet1 row 6</x:v>
      </x:c>
      <x:c r="I12" s="113" t="str">
        <x:v>I02 | Picture 2 | TRS status, trade dates and spread | source Sheet1 row 6</x:v>
      </x:c>
      <x:c r="J12" s="113" t="str">
        <x:v>I02 | Picture 2 | TRS status, trade dates and spread | source Sheet1 row 6</x:v>
      </x:c>
      <x:c r="K12" s="113" t="str">
        <x:v>I02 | Picture 2 | TRS status, trade dates and spread | source Sheet1 row 6</x:v>
      </x:c>
      <x:c r="L12" s="113" t="str">
        <x:v>I02 | Picture 2 | TRS status, trade dates and spread | source Sheet1 row 6</x:v>
      </x:c>
      <x:c r="M12" s="113" t="str">
        <x:v>I02 | Picture 2 | TRS status, trade dates and spread | source Sheet1 row 6</x:v>
      </x:c>
      <x:c r="N12" s="113" t="str">
        <x:v>I02 | Picture 2 | TRS status, trade dates and spread | source Sheet1 row 6</x:v>
      </x:c>
      <x:c r="O12" s="113" t="str">
        <x:v>I02 | Picture 2 | TRS status, trade dates and spread | source Sheet1 row 6</x:v>
      </x:c>
      <x:c r="P12" s="113" t="str">
        <x:v>I02 | Picture 2 | TRS status, trade dates and spread | source Sheet1 row 6</x:v>
      </x:c>
      <x:c r="Q12" s="113" t="str">
        <x:v>I02 | Picture 2 | TRS status, trade dates and spread | source Sheet1 row 6</x:v>
      </x:c>
      <x:c r="R12" s="113" t="str">
        <x:v>I02 | Picture 2 | TRS status, trade dates and spread | source Sheet1 row 6</x:v>
      </x:c>
      <x:c r="S12" s="113" t="str">
        <x:v>I02 | Picture 2 | TRS status, trade dates and spread | source Sheet1 row 6</x:v>
      </x:c>
      <x:c r="T12" s="113" t="str">
        <x:v>I02 | Picture 2 | TRS status, trade dates and spread | source Sheet1 row 6</x:v>
      </x:c>
      <x:c r="U12" s="113" t="str">
        <x:v>I02 | Picture 2 | TRS status, trade dates and spread | source Sheet1 row 6</x:v>
      </x:c>
      <x:c r="V12" s="113" t="str">
        <x:v>I02 | Picture 2 | TRS status, trade dates and spread | source Sheet1 row 6</x:v>
      </x:c>
      <x:c r="W12" s="113" t="str">
        <x:v>I02 | Picture 2 | TRS status, trade dates and spread | source Sheet1 row 6</x:v>
      </x:c>
      <x:c r="X12" s="113" t="str">
        <x:v>I02 | Picture 2 | TRS status, trade dates and spread | source Sheet1 row 6</x:v>
      </x:c>
      <x:c r="Y12" s="113" t="str">
        <x:v>I02 | Picture 2 | TRS status, trade dates and spread | source Sheet1 row 6</x:v>
      </x:c>
      <x:c r="Z12" s="113" t="str">
        <x:v>I02 | Picture 2 | TRS status, trade dates and spread | source Sheet1 row 6</x:v>
      </x:c>
      <x:c r="AA12" s="113" t="str">
        <x:v>I02 | Picture 2 | TRS status, trade dates and spread | source Sheet1 row 6</x:v>
      </x:c>
    </x:row>
    <x:row r="13" ht="23" customHeight="1">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c r="AA13" s="2"/>
    </x:row>
    <x:row r="14" ht="23"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c r="AA14" s="2"/>
    </x:row>
    <x:row r="15" ht="23" customHeight="1">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c r="AA15" s="2"/>
    </x:row>
    <x:row r="16" ht="23"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row>
    <x:row r="17" ht="23" customHeight="1">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c r="AA17" s="2"/>
    </x:row>
    <x:row r="18" ht="23" customHeight="1">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c r="AA18" s="2"/>
    </x:row>
    <x:row r="19" ht="23" customHeight="1">
      <x:c r="A19" s="9" t="str">
        <x:v>I03 | Picture 3 | TRS native NPV, accrual and notionals | source Sheet1 row 11</x:v>
      </x:c>
      <x:c r="B19" s="113" t="str">
        <x:v>I03 | Picture 3 | TRS native NPV, accrual and notionals | source Sheet1 row 11</x:v>
      </x:c>
      <x:c r="C19" s="113" t="str">
        <x:v>I03 | Picture 3 | TRS native NPV, accrual and notionals | source Sheet1 row 11</x:v>
      </x:c>
      <x:c r="D19" s="113" t="str">
        <x:v>I03 | Picture 3 | TRS native NPV, accrual and notionals | source Sheet1 row 11</x:v>
      </x:c>
      <x:c r="E19" s="113" t="str">
        <x:v>I03 | Picture 3 | TRS native NPV, accrual and notionals | source Sheet1 row 11</x:v>
      </x:c>
      <x:c r="F19" s="113" t="str">
        <x:v>I03 | Picture 3 | TRS native NPV, accrual and notionals | source Sheet1 row 11</x:v>
      </x:c>
      <x:c r="G19" s="113" t="str">
        <x:v>I03 | Picture 3 | TRS native NPV, accrual and notionals | source Sheet1 row 11</x:v>
      </x:c>
      <x:c r="H19" s="113" t="str">
        <x:v>I03 | Picture 3 | TRS native NPV, accrual and notionals | source Sheet1 row 11</x:v>
      </x:c>
      <x:c r="I19" s="113" t="str">
        <x:v>I03 | Picture 3 | TRS native NPV, accrual and notionals | source Sheet1 row 11</x:v>
      </x:c>
      <x:c r="J19" s="113" t="str">
        <x:v>I03 | Picture 3 | TRS native NPV, accrual and notionals | source Sheet1 row 11</x:v>
      </x:c>
      <x:c r="K19" s="113" t="str">
        <x:v>I03 | Picture 3 | TRS native NPV, accrual and notionals | source Sheet1 row 11</x:v>
      </x:c>
      <x:c r="L19" s="113" t="str">
        <x:v>I03 | Picture 3 | TRS native NPV, accrual and notionals | source Sheet1 row 11</x:v>
      </x:c>
      <x:c r="M19" s="113" t="str">
        <x:v>I03 | Picture 3 | TRS native NPV, accrual and notionals | source Sheet1 row 11</x:v>
      </x:c>
      <x:c r="N19" s="113" t="str">
        <x:v>I03 | Picture 3 | TRS native NPV, accrual and notionals | source Sheet1 row 11</x:v>
      </x:c>
      <x:c r="O19" s="113" t="str">
        <x:v>I03 | Picture 3 | TRS native NPV, accrual and notionals | source Sheet1 row 11</x:v>
      </x:c>
      <x:c r="P19" s="113" t="str">
        <x:v>I03 | Picture 3 | TRS native NPV, accrual and notionals | source Sheet1 row 11</x:v>
      </x:c>
      <x:c r="Q19" s="113" t="str">
        <x:v>I03 | Picture 3 | TRS native NPV, accrual and notionals | source Sheet1 row 11</x:v>
      </x:c>
      <x:c r="R19" s="113" t="str">
        <x:v>I03 | Picture 3 | TRS native NPV, accrual and notionals | source Sheet1 row 11</x:v>
      </x:c>
      <x:c r="S19" s="113" t="str">
        <x:v>I03 | Picture 3 | TRS native NPV, accrual and notionals | source Sheet1 row 11</x:v>
      </x:c>
      <x:c r="T19" s="113" t="str">
        <x:v>I03 | Picture 3 | TRS native NPV, accrual and notionals | source Sheet1 row 11</x:v>
      </x:c>
      <x:c r="U19" s="113" t="str">
        <x:v>I03 | Picture 3 | TRS native NPV, accrual and notionals | source Sheet1 row 11</x:v>
      </x:c>
      <x:c r="V19" s="113" t="str">
        <x:v>I03 | Picture 3 | TRS native NPV, accrual and notionals | source Sheet1 row 11</x:v>
      </x:c>
      <x:c r="W19" s="113" t="str">
        <x:v>I03 | Picture 3 | TRS native NPV, accrual and notionals | source Sheet1 row 11</x:v>
      </x:c>
      <x:c r="X19" s="113" t="str">
        <x:v>I03 | Picture 3 | TRS native NPV, accrual and notionals | source Sheet1 row 11</x:v>
      </x:c>
      <x:c r="Y19" s="113" t="str">
        <x:v>I03 | Picture 3 | TRS native NPV, accrual and notionals | source Sheet1 row 11</x:v>
      </x:c>
      <x:c r="Z19" s="113" t="str">
        <x:v>I03 | Picture 3 | TRS native NPV, accrual and notionals | source Sheet1 row 11</x:v>
      </x:c>
      <x:c r="AA19" s="113" t="str">
        <x:v>I03 | Picture 3 | TRS native NPV, accrual and notionals | source Sheet1 row 11</x:v>
      </x:c>
    </x:row>
    <x:row r="20" ht="23" customHeight="1">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c r="AA20" s="2"/>
    </x:row>
    <x:row r="21" ht="23"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c r="AA21" s="2"/>
    </x:row>
    <x:row r="22" ht="23"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row>
    <x:row r="23" ht="23"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row>
    <x:row r="24" ht="23"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row>
    <x:row r="25" ht="23"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row>
    <x:row r="26" ht="23" customHeight="1">
      <x:c r="A26" s="9" t="str">
        <x:v>I04 | Picture 4 | TRS clean mark and funding components | source Sheet1 row 16</x:v>
      </x:c>
      <x:c r="B26" s="113" t="str">
        <x:v>I04 | Picture 4 | TRS clean mark and funding components | source Sheet1 row 16</x:v>
      </x:c>
      <x:c r="C26" s="113" t="str">
        <x:v>I04 | Picture 4 | TRS clean mark and funding components | source Sheet1 row 16</x:v>
      </x:c>
      <x:c r="D26" s="113" t="str">
        <x:v>I04 | Picture 4 | TRS clean mark and funding components | source Sheet1 row 16</x:v>
      </x:c>
      <x:c r="E26" s="113" t="str">
        <x:v>I04 | Picture 4 | TRS clean mark and funding components | source Sheet1 row 16</x:v>
      </x:c>
      <x:c r="F26" s="113" t="str">
        <x:v>I04 | Picture 4 | TRS clean mark and funding components | source Sheet1 row 16</x:v>
      </x:c>
      <x:c r="G26" s="113" t="str">
        <x:v>I04 | Picture 4 | TRS clean mark and funding components | source Sheet1 row 16</x:v>
      </x:c>
      <x:c r="H26" s="113" t="str">
        <x:v>I04 | Picture 4 | TRS clean mark and funding components | source Sheet1 row 16</x:v>
      </x:c>
      <x:c r="I26" s="113" t="str">
        <x:v>I04 | Picture 4 | TRS clean mark and funding components | source Sheet1 row 16</x:v>
      </x:c>
      <x:c r="J26" s="113" t="str">
        <x:v>I04 | Picture 4 | TRS clean mark and funding components | source Sheet1 row 16</x:v>
      </x:c>
      <x:c r="K26" s="113" t="str">
        <x:v>I04 | Picture 4 | TRS clean mark and funding components | source Sheet1 row 16</x:v>
      </x:c>
      <x:c r="L26" s="113" t="str">
        <x:v>I04 | Picture 4 | TRS clean mark and funding components | source Sheet1 row 16</x:v>
      </x:c>
      <x:c r="M26" s="113" t="str">
        <x:v>I04 | Picture 4 | TRS clean mark and funding components | source Sheet1 row 16</x:v>
      </x:c>
      <x:c r="N26" s="113" t="str">
        <x:v>I04 | Picture 4 | TRS clean mark and funding components | source Sheet1 row 16</x:v>
      </x:c>
      <x:c r="O26" s="113" t="str">
        <x:v>I04 | Picture 4 | TRS clean mark and funding components | source Sheet1 row 16</x:v>
      </x:c>
      <x:c r="P26" s="113" t="str">
        <x:v>I04 | Picture 4 | TRS clean mark and funding components | source Sheet1 row 16</x:v>
      </x:c>
      <x:c r="Q26" s="113" t="str">
        <x:v>I04 | Picture 4 | TRS clean mark and funding components | source Sheet1 row 16</x:v>
      </x:c>
      <x:c r="R26" s="113" t="str">
        <x:v>I04 | Picture 4 | TRS clean mark and funding components | source Sheet1 row 16</x:v>
      </x:c>
      <x:c r="S26" s="113" t="str">
        <x:v>I04 | Picture 4 | TRS clean mark and funding components | source Sheet1 row 16</x:v>
      </x:c>
      <x:c r="T26" s="113" t="str">
        <x:v>I04 | Picture 4 | TRS clean mark and funding components | source Sheet1 row 16</x:v>
      </x:c>
      <x:c r="U26" s="113" t="str">
        <x:v>I04 | Picture 4 | TRS clean mark and funding components | source Sheet1 row 16</x:v>
      </x:c>
      <x:c r="V26" s="113" t="str">
        <x:v>I04 | Picture 4 | TRS clean mark and funding components | source Sheet1 row 16</x:v>
      </x:c>
      <x:c r="W26" s="113" t="str">
        <x:v>I04 | Picture 4 | TRS clean mark and funding components | source Sheet1 row 16</x:v>
      </x:c>
      <x:c r="X26" s="113" t="str">
        <x:v>I04 | Picture 4 | TRS clean mark and funding components | source Sheet1 row 16</x:v>
      </x:c>
      <x:c r="Y26" s="113" t="str">
        <x:v>I04 | Picture 4 | TRS clean mark and funding components | source Sheet1 row 16</x:v>
      </x:c>
      <x:c r="Z26" s="113" t="str">
        <x:v>I04 | Picture 4 | TRS clean mark and funding components | source Sheet1 row 16</x:v>
      </x:c>
      <x:c r="AA26" s="113" t="str">
        <x:v>I04 | Picture 4 | TRS clean mark and funding components | source Sheet1 row 16</x:v>
      </x:c>
    </x:row>
    <x:row r="27" ht="23"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row>
    <x:row r="28" ht="23"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row>
    <x:row r="29" ht="23"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row>
    <x:row r="30" ht="23"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row>
    <x:row r="31" ht="23"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row>
    <x:row r="32" ht="23" customHeight="1">
      <x:c r="A32" s="9" t="str">
        <x:v>I05 | Picture 5 | P&amp;L report: trades, accruals and notionals | source Sheet1 row 21</x:v>
      </x:c>
      <x:c r="B32" s="113" t="str">
        <x:v>I05 | Picture 5 | P&amp;L report: trades, accruals and notionals | source Sheet1 row 21</x:v>
      </x:c>
      <x:c r="C32" s="113" t="str">
        <x:v>I05 | Picture 5 | P&amp;L report: trades, accruals and notionals | source Sheet1 row 21</x:v>
      </x:c>
      <x:c r="D32" s="113" t="str">
        <x:v>I05 | Picture 5 | P&amp;L report: trades, accruals and notionals | source Sheet1 row 21</x:v>
      </x:c>
      <x:c r="E32" s="113" t="str">
        <x:v>I05 | Picture 5 | P&amp;L report: trades, accruals and notionals | source Sheet1 row 21</x:v>
      </x:c>
      <x:c r="F32" s="113" t="str">
        <x:v>I05 | Picture 5 | P&amp;L report: trades, accruals and notionals | source Sheet1 row 21</x:v>
      </x:c>
      <x:c r="G32" s="113" t="str">
        <x:v>I05 | Picture 5 | P&amp;L report: trades, accruals and notionals | source Sheet1 row 21</x:v>
      </x:c>
      <x:c r="H32" s="113" t="str">
        <x:v>I05 | Picture 5 | P&amp;L report: trades, accruals and notionals | source Sheet1 row 21</x:v>
      </x:c>
      <x:c r="I32" s="113" t="str">
        <x:v>I05 | Picture 5 | P&amp;L report: trades, accruals and notionals | source Sheet1 row 21</x:v>
      </x:c>
      <x:c r="J32" s="113" t="str">
        <x:v>I05 | Picture 5 | P&amp;L report: trades, accruals and notionals | source Sheet1 row 21</x:v>
      </x:c>
      <x:c r="K32" s="113" t="str">
        <x:v>I05 | Picture 5 | P&amp;L report: trades, accruals and notionals | source Sheet1 row 21</x:v>
      </x:c>
      <x:c r="L32" s="113" t="str">
        <x:v>I05 | Picture 5 | P&amp;L report: trades, accruals and notionals | source Sheet1 row 21</x:v>
      </x:c>
      <x:c r="M32" s="113" t="str">
        <x:v>I05 | Picture 5 | P&amp;L report: trades, accruals and notionals | source Sheet1 row 21</x:v>
      </x:c>
      <x:c r="N32" s="113" t="str">
        <x:v>I05 | Picture 5 | P&amp;L report: trades, accruals and notionals | source Sheet1 row 21</x:v>
      </x:c>
      <x:c r="O32" s="113" t="str">
        <x:v>I05 | Picture 5 | P&amp;L report: trades, accruals and notionals | source Sheet1 row 21</x:v>
      </x:c>
      <x:c r="P32" s="113" t="str">
        <x:v>I05 | Picture 5 | P&amp;L report: trades, accruals and notionals | source Sheet1 row 21</x:v>
      </x:c>
      <x:c r="Q32" s="113" t="str">
        <x:v>I05 | Picture 5 | P&amp;L report: trades, accruals and notionals | source Sheet1 row 21</x:v>
      </x:c>
      <x:c r="R32" s="113" t="str">
        <x:v>I05 | Picture 5 | P&amp;L report: trades, accruals and notionals | source Sheet1 row 21</x:v>
      </x:c>
      <x:c r="S32" s="113" t="str">
        <x:v>I05 | Picture 5 | P&amp;L report: trades, accruals and notionals | source Sheet1 row 21</x:v>
      </x:c>
      <x:c r="T32" s="113" t="str">
        <x:v>I05 | Picture 5 | P&amp;L report: trades, accruals and notionals | source Sheet1 row 21</x:v>
      </x:c>
      <x:c r="U32" s="113" t="str">
        <x:v>I05 | Picture 5 | P&amp;L report: trades, accruals and notionals | source Sheet1 row 21</x:v>
      </x:c>
      <x:c r="V32" s="113" t="str">
        <x:v>I05 | Picture 5 | P&amp;L report: trades, accruals and notionals | source Sheet1 row 21</x:v>
      </x:c>
      <x:c r="W32" s="113" t="str">
        <x:v>I05 | Picture 5 | P&amp;L report: trades, accruals and notionals | source Sheet1 row 21</x:v>
      </x:c>
      <x:c r="X32" s="113" t="str">
        <x:v>I05 | Picture 5 | P&amp;L report: trades, accruals and notionals | source Sheet1 row 21</x:v>
      </x:c>
      <x:c r="Y32" s="113" t="str">
        <x:v>I05 | Picture 5 | P&amp;L report: trades, accruals and notionals | source Sheet1 row 21</x:v>
      </x:c>
      <x:c r="Z32" s="113" t="str">
        <x:v>I05 | Picture 5 | P&amp;L report: trades, accruals and notionals | source Sheet1 row 21</x:v>
      </x:c>
      <x:c r="AA32" s="113" t="str">
        <x:v>I05 | Picture 5 | P&amp;L report: trades, accruals and notionals | source Sheet1 row 21</x:v>
      </x:c>
    </x:row>
    <x:row r="33" ht="23"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row>
    <x:row r="34" ht="23"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row>
    <x:row r="35" ht="23"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row>
    <x:row r="36" ht="23"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row>
    <x:row r="37" ht="23"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row>
    <x:row r="38" ht="23"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row>
    <x:row r="39" ht="23"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row>
    <x:row r="40" ht="23" customHeight="1">
      <x:c r="A40" s="9" t="str">
        <x:v>I06 | Picture 7 | P&amp;L report: identifiers and dates | source Sheet1 row 28</x:v>
      </x:c>
      <x:c r="B40" s="113" t="str">
        <x:v>I06 | Picture 7 | P&amp;L report: identifiers and dates | source Sheet1 row 28</x:v>
      </x:c>
      <x:c r="C40" s="113" t="str">
        <x:v>I06 | Picture 7 | P&amp;L report: identifiers and dates | source Sheet1 row 28</x:v>
      </x:c>
      <x:c r="D40" s="113" t="str">
        <x:v>I06 | Picture 7 | P&amp;L report: identifiers and dates | source Sheet1 row 28</x:v>
      </x:c>
      <x:c r="E40" s="113" t="str">
        <x:v>I06 | Picture 7 | P&amp;L report: identifiers and dates | source Sheet1 row 28</x:v>
      </x:c>
      <x:c r="F40" s="113" t="str">
        <x:v>I06 | Picture 7 | P&amp;L report: identifiers and dates | source Sheet1 row 28</x:v>
      </x:c>
      <x:c r="G40" s="113" t="str">
        <x:v>I06 | Picture 7 | P&amp;L report: identifiers and dates | source Sheet1 row 28</x:v>
      </x:c>
      <x:c r="H40" s="113" t="str">
        <x:v>I06 | Picture 7 | P&amp;L report: identifiers and dates | source Sheet1 row 28</x:v>
      </x:c>
      <x:c r="I40" s="113" t="str">
        <x:v>I06 | Picture 7 | P&amp;L report: identifiers and dates | source Sheet1 row 28</x:v>
      </x:c>
      <x:c r="J40" s="113" t="str">
        <x:v>I06 | Picture 7 | P&amp;L report: identifiers and dates | source Sheet1 row 28</x:v>
      </x:c>
      <x:c r="K40" s="113" t="str">
        <x:v>I06 | Picture 7 | P&amp;L report: identifiers and dates | source Sheet1 row 28</x:v>
      </x:c>
      <x:c r="L40" s="113" t="str">
        <x:v>I06 | Picture 7 | P&amp;L report: identifiers and dates | source Sheet1 row 28</x:v>
      </x:c>
      <x:c r="M40" s="113" t="str">
        <x:v>I06 | Picture 7 | P&amp;L report: identifiers and dates | source Sheet1 row 28</x:v>
      </x:c>
      <x:c r="N40" s="113" t="str">
        <x:v>I06 | Picture 7 | P&amp;L report: identifiers and dates | source Sheet1 row 28</x:v>
      </x:c>
      <x:c r="O40" s="113" t="str">
        <x:v>I06 | Picture 7 | P&amp;L report: identifiers and dates | source Sheet1 row 28</x:v>
      </x:c>
      <x:c r="P40" s="113" t="str">
        <x:v>I06 | Picture 7 | P&amp;L report: identifiers and dates | source Sheet1 row 28</x:v>
      </x:c>
      <x:c r="Q40" s="113" t="str">
        <x:v>I06 | Picture 7 | P&amp;L report: identifiers and dates | source Sheet1 row 28</x:v>
      </x:c>
      <x:c r="R40" s="113" t="str">
        <x:v>I06 | Picture 7 | P&amp;L report: identifiers and dates | source Sheet1 row 28</x:v>
      </x:c>
      <x:c r="S40" s="113" t="str">
        <x:v>I06 | Picture 7 | P&amp;L report: identifiers and dates | source Sheet1 row 28</x:v>
      </x:c>
      <x:c r="T40" s="113" t="str">
        <x:v>I06 | Picture 7 | P&amp;L report: identifiers and dates | source Sheet1 row 28</x:v>
      </x:c>
      <x:c r="U40" s="113" t="str">
        <x:v>I06 | Picture 7 | P&amp;L report: identifiers and dates | source Sheet1 row 28</x:v>
      </x:c>
      <x:c r="V40" s="113" t="str">
        <x:v>I06 | Picture 7 | P&amp;L report: identifiers and dates | source Sheet1 row 28</x:v>
      </x:c>
      <x:c r="W40" s="113" t="str">
        <x:v>I06 | Picture 7 | P&amp;L report: identifiers and dates | source Sheet1 row 28</x:v>
      </x:c>
      <x:c r="X40" s="113" t="str">
        <x:v>I06 | Picture 7 | P&amp;L report: identifiers and dates | source Sheet1 row 28</x:v>
      </x:c>
      <x:c r="Y40" s="113" t="str">
        <x:v>I06 | Picture 7 | P&amp;L report: identifiers and dates | source Sheet1 row 28</x:v>
      </x:c>
      <x:c r="Z40" s="113" t="str">
        <x:v>I06 | Picture 7 | P&amp;L report: identifiers and dates | source Sheet1 row 28</x:v>
      </x:c>
      <x:c r="AA40" s="113" t="str">
        <x:v>I06 | Picture 7 | P&amp;L report: identifiers and dates | source Sheet1 row 28</x:v>
      </x:c>
    </x:row>
    <x:row r="41" ht="23"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row>
    <x:row r="42" ht="23"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row>
    <x:row r="43" ht="23"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row>
    <x:row r="44" ht="23"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row>
    <x:row r="45" ht="23"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row>
    <x:row r="46" ht="23"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row>
    <x:row r="47" ht="23"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row>
    <x:row r="48" ht="23" customHeight="1">
      <x:c r="A48" s="9" t="str">
        <x:v>I07 | Picture 8 | P&amp;L report: local balances and cash | source Sheet1 row 35</x:v>
      </x:c>
      <x:c r="B48" s="113" t="str">
        <x:v>I07 | Picture 8 | P&amp;L report: local balances and cash | source Sheet1 row 35</x:v>
      </x:c>
      <x:c r="C48" s="113" t="str">
        <x:v>I07 | Picture 8 | P&amp;L report: local balances and cash | source Sheet1 row 35</x:v>
      </x:c>
      <x:c r="D48" s="113" t="str">
        <x:v>I07 | Picture 8 | P&amp;L report: local balances and cash | source Sheet1 row 35</x:v>
      </x:c>
      <x:c r="E48" s="113" t="str">
        <x:v>I07 | Picture 8 | P&amp;L report: local balances and cash | source Sheet1 row 35</x:v>
      </x:c>
      <x:c r="F48" s="113" t="str">
        <x:v>I07 | Picture 8 | P&amp;L report: local balances and cash | source Sheet1 row 35</x:v>
      </x:c>
      <x:c r="G48" s="113" t="str">
        <x:v>I07 | Picture 8 | P&amp;L report: local balances and cash | source Sheet1 row 35</x:v>
      </x:c>
      <x:c r="H48" s="113" t="str">
        <x:v>I07 | Picture 8 | P&amp;L report: local balances and cash | source Sheet1 row 35</x:v>
      </x:c>
      <x:c r="I48" s="113" t="str">
        <x:v>I07 | Picture 8 | P&amp;L report: local balances and cash | source Sheet1 row 35</x:v>
      </x:c>
      <x:c r="J48" s="113" t="str">
        <x:v>I07 | Picture 8 | P&amp;L report: local balances and cash | source Sheet1 row 35</x:v>
      </x:c>
      <x:c r="K48" s="113" t="str">
        <x:v>I07 | Picture 8 | P&amp;L report: local balances and cash | source Sheet1 row 35</x:v>
      </x:c>
      <x:c r="L48" s="113" t="str">
        <x:v>I07 | Picture 8 | P&amp;L report: local balances and cash | source Sheet1 row 35</x:v>
      </x:c>
      <x:c r="M48" s="113" t="str">
        <x:v>I07 | Picture 8 | P&amp;L report: local balances and cash | source Sheet1 row 35</x:v>
      </x:c>
      <x:c r="N48" s="113" t="str">
        <x:v>I07 | Picture 8 | P&amp;L report: local balances and cash | source Sheet1 row 35</x:v>
      </x:c>
      <x:c r="O48" s="113" t="str">
        <x:v>I07 | Picture 8 | P&amp;L report: local balances and cash | source Sheet1 row 35</x:v>
      </x:c>
      <x:c r="P48" s="113" t="str">
        <x:v>I07 | Picture 8 | P&amp;L report: local balances and cash | source Sheet1 row 35</x:v>
      </x:c>
      <x:c r="Q48" s="113" t="str">
        <x:v>I07 | Picture 8 | P&amp;L report: local balances and cash | source Sheet1 row 35</x:v>
      </x:c>
      <x:c r="R48" s="113" t="str">
        <x:v>I07 | Picture 8 | P&amp;L report: local balances and cash | source Sheet1 row 35</x:v>
      </x:c>
      <x:c r="S48" s="113" t="str">
        <x:v>I07 | Picture 8 | P&amp;L report: local balances and cash | source Sheet1 row 35</x:v>
      </x:c>
      <x:c r="T48" s="113" t="str">
        <x:v>I07 | Picture 8 | P&amp;L report: local balances and cash | source Sheet1 row 35</x:v>
      </x:c>
      <x:c r="U48" s="113" t="str">
        <x:v>I07 | Picture 8 | P&amp;L report: local balances and cash | source Sheet1 row 35</x:v>
      </x:c>
      <x:c r="V48" s="113" t="str">
        <x:v>I07 | Picture 8 | P&amp;L report: local balances and cash | source Sheet1 row 35</x:v>
      </x:c>
      <x:c r="W48" s="113" t="str">
        <x:v>I07 | Picture 8 | P&amp;L report: local balances and cash | source Sheet1 row 35</x:v>
      </x:c>
      <x:c r="X48" s="113" t="str">
        <x:v>I07 | Picture 8 | P&amp;L report: local balances and cash | source Sheet1 row 35</x:v>
      </x:c>
      <x:c r="Y48" s="113" t="str">
        <x:v>I07 | Picture 8 | P&amp;L report: local balances and cash | source Sheet1 row 35</x:v>
      </x:c>
      <x:c r="Z48" s="113" t="str">
        <x:v>I07 | Picture 8 | P&amp;L report: local balances and cash | source Sheet1 row 35</x:v>
      </x:c>
      <x:c r="AA48" s="113" t="str">
        <x:v>I07 | Picture 8 | P&amp;L report: local balances and cash | source Sheet1 row 35</x:v>
      </x:c>
    </x:row>
    <x:row r="49" ht="23"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row>
    <x:row r="50" ht="23"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row>
    <x:row r="51" ht="23"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row>
    <x:row r="52" ht="23"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row>
    <x:row r="53" ht="23"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row>
    <x:row r="54" ht="23"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row>
    <x:row r="55" ht="23"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row>
    <x:row r="56" ht="23"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row>
    <x:row r="57" ht="23" customHeight="1">
      <x:c r="A57" s="9" t="str">
        <x:v>I08 | Picture 9 | P&amp;L report: daily and MTD P&amp;L | source Sheet1 row 43</x:v>
      </x:c>
      <x:c r="B57" s="113" t="str">
        <x:v>I08 | Picture 9 | P&amp;L report: daily and MTD P&amp;L | source Sheet1 row 43</x:v>
      </x:c>
      <x:c r="C57" s="113" t="str">
        <x:v>I08 | Picture 9 | P&amp;L report: daily and MTD P&amp;L | source Sheet1 row 43</x:v>
      </x:c>
      <x:c r="D57" s="113" t="str">
        <x:v>I08 | Picture 9 | P&amp;L report: daily and MTD P&amp;L | source Sheet1 row 43</x:v>
      </x:c>
      <x:c r="E57" s="113" t="str">
        <x:v>I08 | Picture 9 | P&amp;L report: daily and MTD P&amp;L | source Sheet1 row 43</x:v>
      </x:c>
      <x:c r="F57" s="113" t="str">
        <x:v>I08 | Picture 9 | P&amp;L report: daily and MTD P&amp;L | source Sheet1 row 43</x:v>
      </x:c>
      <x:c r="G57" s="113" t="str">
        <x:v>I08 | Picture 9 | P&amp;L report: daily and MTD P&amp;L | source Sheet1 row 43</x:v>
      </x:c>
      <x:c r="H57" s="113" t="str">
        <x:v>I08 | Picture 9 | P&amp;L report: daily and MTD P&amp;L | source Sheet1 row 43</x:v>
      </x:c>
      <x:c r="I57" s="113" t="str">
        <x:v>I08 | Picture 9 | P&amp;L report: daily and MTD P&amp;L | source Sheet1 row 43</x:v>
      </x:c>
      <x:c r="J57" s="113" t="str">
        <x:v>I08 | Picture 9 | P&amp;L report: daily and MTD P&amp;L | source Sheet1 row 43</x:v>
      </x:c>
      <x:c r="K57" s="113" t="str">
        <x:v>I08 | Picture 9 | P&amp;L report: daily and MTD P&amp;L | source Sheet1 row 43</x:v>
      </x:c>
      <x:c r="L57" s="113" t="str">
        <x:v>I08 | Picture 9 | P&amp;L report: daily and MTD P&amp;L | source Sheet1 row 43</x:v>
      </x:c>
      <x:c r="M57" s="113" t="str">
        <x:v>I08 | Picture 9 | P&amp;L report: daily and MTD P&amp;L | source Sheet1 row 43</x:v>
      </x:c>
      <x:c r="N57" s="113" t="str">
        <x:v>I08 | Picture 9 | P&amp;L report: daily and MTD P&amp;L | source Sheet1 row 43</x:v>
      </x:c>
      <x:c r="O57" s="113" t="str">
        <x:v>I08 | Picture 9 | P&amp;L report: daily and MTD P&amp;L | source Sheet1 row 43</x:v>
      </x:c>
      <x:c r="P57" s="113" t="str">
        <x:v>I08 | Picture 9 | P&amp;L report: daily and MTD P&amp;L | source Sheet1 row 43</x:v>
      </x:c>
      <x:c r="Q57" s="113" t="str">
        <x:v>I08 | Picture 9 | P&amp;L report: daily and MTD P&amp;L | source Sheet1 row 43</x:v>
      </x:c>
      <x:c r="R57" s="113" t="str">
        <x:v>I08 | Picture 9 | P&amp;L report: daily and MTD P&amp;L | source Sheet1 row 43</x:v>
      </x:c>
      <x:c r="S57" s="113" t="str">
        <x:v>I08 | Picture 9 | P&amp;L report: daily and MTD P&amp;L | source Sheet1 row 43</x:v>
      </x:c>
      <x:c r="T57" s="113" t="str">
        <x:v>I08 | Picture 9 | P&amp;L report: daily and MTD P&amp;L | source Sheet1 row 43</x:v>
      </x:c>
      <x:c r="U57" s="113" t="str">
        <x:v>I08 | Picture 9 | P&amp;L report: daily and MTD P&amp;L | source Sheet1 row 43</x:v>
      </x:c>
      <x:c r="V57" s="113" t="str">
        <x:v>I08 | Picture 9 | P&amp;L report: daily and MTD P&amp;L | source Sheet1 row 43</x:v>
      </x:c>
      <x:c r="W57" s="113" t="str">
        <x:v>I08 | Picture 9 | P&amp;L report: daily and MTD P&amp;L | source Sheet1 row 43</x:v>
      </x:c>
      <x:c r="X57" s="113" t="str">
        <x:v>I08 | Picture 9 | P&amp;L report: daily and MTD P&amp;L | source Sheet1 row 43</x:v>
      </x:c>
      <x:c r="Y57" s="113" t="str">
        <x:v>I08 | Picture 9 | P&amp;L report: daily and MTD P&amp;L | source Sheet1 row 43</x:v>
      </x:c>
      <x:c r="Z57" s="113" t="str">
        <x:v>I08 | Picture 9 | P&amp;L report: daily and MTD P&amp;L | source Sheet1 row 43</x:v>
      </x:c>
      <x:c r="AA57" s="113" t="str">
        <x:v>I08 | Picture 9 | P&amp;L report: daily and MTD P&amp;L | source Sheet1 row 43</x:v>
      </x:c>
    </x:row>
    <x:row r="58" ht="23"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row>
    <x:row r="59" ht="23"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row>
    <x:row r="60" ht="23"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row>
    <x:row r="61" ht="23"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row>
    <x:row r="62" ht="23"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row>
    <x:row r="63" ht="23"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row>
    <x:row r="64" ht="23"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row>
    <x:row r="65" ht="23" customHeight="1">
      <x:c r="A65" s="9" t="str">
        <x:v>I09 | Picture 10 | P&amp;L report: YTD and USD balances | source Sheet1 row 50</x:v>
      </x:c>
      <x:c r="B65" s="113" t="str">
        <x:v>I09 | Picture 10 | P&amp;L report: YTD and USD balances | source Sheet1 row 50</x:v>
      </x:c>
      <x:c r="C65" s="113" t="str">
        <x:v>I09 | Picture 10 | P&amp;L report: YTD and USD balances | source Sheet1 row 50</x:v>
      </x:c>
      <x:c r="D65" s="113" t="str">
        <x:v>I09 | Picture 10 | P&amp;L report: YTD and USD balances | source Sheet1 row 50</x:v>
      </x:c>
      <x:c r="E65" s="113" t="str">
        <x:v>I09 | Picture 10 | P&amp;L report: YTD and USD balances | source Sheet1 row 50</x:v>
      </x:c>
      <x:c r="F65" s="113" t="str">
        <x:v>I09 | Picture 10 | P&amp;L report: YTD and USD balances | source Sheet1 row 50</x:v>
      </x:c>
      <x:c r="G65" s="113" t="str">
        <x:v>I09 | Picture 10 | P&amp;L report: YTD and USD balances | source Sheet1 row 50</x:v>
      </x:c>
      <x:c r="H65" s="113" t="str">
        <x:v>I09 | Picture 10 | P&amp;L report: YTD and USD balances | source Sheet1 row 50</x:v>
      </x:c>
      <x:c r="I65" s="113" t="str">
        <x:v>I09 | Picture 10 | P&amp;L report: YTD and USD balances | source Sheet1 row 50</x:v>
      </x:c>
      <x:c r="J65" s="113" t="str">
        <x:v>I09 | Picture 10 | P&amp;L report: YTD and USD balances | source Sheet1 row 50</x:v>
      </x:c>
      <x:c r="K65" s="113" t="str">
        <x:v>I09 | Picture 10 | P&amp;L report: YTD and USD balances | source Sheet1 row 50</x:v>
      </x:c>
      <x:c r="L65" s="113" t="str">
        <x:v>I09 | Picture 10 | P&amp;L report: YTD and USD balances | source Sheet1 row 50</x:v>
      </x:c>
      <x:c r="M65" s="113" t="str">
        <x:v>I09 | Picture 10 | P&amp;L report: YTD and USD balances | source Sheet1 row 50</x:v>
      </x:c>
      <x:c r="N65" s="113" t="str">
        <x:v>I09 | Picture 10 | P&amp;L report: YTD and USD balances | source Sheet1 row 50</x:v>
      </x:c>
      <x:c r="O65" s="113" t="str">
        <x:v>I09 | Picture 10 | P&amp;L report: YTD and USD balances | source Sheet1 row 50</x:v>
      </x:c>
      <x:c r="P65" s="113" t="str">
        <x:v>I09 | Picture 10 | P&amp;L report: YTD and USD balances | source Sheet1 row 50</x:v>
      </x:c>
      <x:c r="Q65" s="113" t="str">
        <x:v>I09 | Picture 10 | P&amp;L report: YTD and USD balances | source Sheet1 row 50</x:v>
      </x:c>
      <x:c r="R65" s="113" t="str">
        <x:v>I09 | Picture 10 | P&amp;L report: YTD and USD balances | source Sheet1 row 50</x:v>
      </x:c>
      <x:c r="S65" s="113" t="str">
        <x:v>I09 | Picture 10 | P&amp;L report: YTD and USD balances | source Sheet1 row 50</x:v>
      </x:c>
      <x:c r="T65" s="113" t="str">
        <x:v>I09 | Picture 10 | P&amp;L report: YTD and USD balances | source Sheet1 row 50</x:v>
      </x:c>
      <x:c r="U65" s="113" t="str">
        <x:v>I09 | Picture 10 | P&amp;L report: YTD and USD balances | source Sheet1 row 50</x:v>
      </x:c>
      <x:c r="V65" s="113" t="str">
        <x:v>I09 | Picture 10 | P&amp;L report: YTD and USD balances | source Sheet1 row 50</x:v>
      </x:c>
      <x:c r="W65" s="113" t="str">
        <x:v>I09 | Picture 10 | P&amp;L report: YTD and USD balances | source Sheet1 row 50</x:v>
      </x:c>
      <x:c r="X65" s="113" t="str">
        <x:v>I09 | Picture 10 | P&amp;L report: YTD and USD balances | source Sheet1 row 50</x:v>
      </x:c>
      <x:c r="Y65" s="113" t="str">
        <x:v>I09 | Picture 10 | P&amp;L report: YTD and USD balances | source Sheet1 row 50</x:v>
      </x:c>
      <x:c r="Z65" s="113" t="str">
        <x:v>I09 | Picture 10 | P&amp;L report: YTD and USD balances | source Sheet1 row 50</x:v>
      </x:c>
      <x:c r="AA65" s="113" t="str">
        <x:v>I09 | Picture 10 | P&amp;L report: YTD and USD balances | source Sheet1 row 50</x:v>
      </x:c>
    </x:row>
    <x:row r="66" ht="23"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row>
    <x:row r="67" ht="23"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row>
    <x:row r="68" ht="23"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row>
    <x:row r="69" ht="23"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row>
    <x:row r="70" ht="23"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row>
    <x:row r="71" ht="23"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row>
    <x:row r="72" ht="23"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row>
    <x:row r="73" ht="23" customHeight="1">
      <x:c r="A73" s="9" t="str">
        <x:v>I10 | Picture 11 | Opening and closing MTM | source Sheet1 row 57</x:v>
      </x:c>
      <x:c r="B73" s="113" t="str">
        <x:v>I10 | Picture 11 | Opening and closing MTM | source Sheet1 row 57</x:v>
      </x:c>
      <x:c r="C73" s="113" t="str">
        <x:v>I10 | Picture 11 | Opening and closing MTM | source Sheet1 row 57</x:v>
      </x:c>
      <x:c r="D73" s="113" t="str">
        <x:v>I10 | Picture 11 | Opening and closing MTM | source Sheet1 row 57</x:v>
      </x:c>
      <x:c r="E73" s="113" t="str">
        <x:v>I10 | Picture 11 | Opening and closing MTM | source Sheet1 row 57</x:v>
      </x:c>
      <x:c r="F73" s="113" t="str">
        <x:v>I10 | Picture 11 | Opening and closing MTM | source Sheet1 row 57</x:v>
      </x:c>
      <x:c r="G73" s="113" t="str">
        <x:v>I10 | Picture 11 | Opening and closing MTM | source Sheet1 row 57</x:v>
      </x:c>
      <x:c r="H73" s="113" t="str">
        <x:v>I10 | Picture 11 | Opening and closing MTM | source Sheet1 row 57</x:v>
      </x:c>
      <x:c r="I73" s="113" t="str">
        <x:v>I10 | Picture 11 | Opening and closing MTM | source Sheet1 row 57</x:v>
      </x:c>
      <x:c r="J73" s="113" t="str">
        <x:v>I10 | Picture 11 | Opening and closing MTM | source Sheet1 row 57</x:v>
      </x:c>
      <x:c r="K73" s="113" t="str">
        <x:v>I10 | Picture 11 | Opening and closing MTM | source Sheet1 row 57</x:v>
      </x:c>
      <x:c r="L73" s="113" t="str">
        <x:v>I10 | Picture 11 | Opening and closing MTM | source Sheet1 row 57</x:v>
      </x:c>
      <x:c r="M73" s="113" t="str">
        <x:v>I10 | Picture 11 | Opening and closing MTM | source Sheet1 row 57</x:v>
      </x:c>
      <x:c r="N73" s="113" t="str">
        <x:v>I10 | Picture 11 | Opening and closing MTM | source Sheet1 row 57</x:v>
      </x:c>
      <x:c r="O73" s="113" t="str">
        <x:v>I10 | Picture 11 | Opening and closing MTM | source Sheet1 row 57</x:v>
      </x:c>
      <x:c r="P73" s="113" t="str">
        <x:v>I10 | Picture 11 | Opening and closing MTM | source Sheet1 row 57</x:v>
      </x:c>
      <x:c r="Q73" s="113" t="str">
        <x:v>I10 | Picture 11 | Opening and closing MTM | source Sheet1 row 57</x:v>
      </x:c>
      <x:c r="R73" s="113" t="str">
        <x:v>I10 | Picture 11 | Opening and closing MTM | source Sheet1 row 57</x:v>
      </x:c>
      <x:c r="S73" s="113" t="str">
        <x:v>I10 | Picture 11 | Opening and closing MTM | source Sheet1 row 57</x:v>
      </x:c>
      <x:c r="T73" s="113" t="str">
        <x:v>I10 | Picture 11 | Opening and closing MTM | source Sheet1 row 57</x:v>
      </x:c>
      <x:c r="U73" s="113" t="str">
        <x:v>I10 | Picture 11 | Opening and closing MTM | source Sheet1 row 57</x:v>
      </x:c>
      <x:c r="V73" s="113" t="str">
        <x:v>I10 | Picture 11 | Opening and closing MTM | source Sheet1 row 57</x:v>
      </x:c>
      <x:c r="W73" s="113" t="str">
        <x:v>I10 | Picture 11 | Opening and closing MTM | source Sheet1 row 57</x:v>
      </x:c>
      <x:c r="X73" s="113" t="str">
        <x:v>I10 | Picture 11 | Opening and closing MTM | source Sheet1 row 57</x:v>
      </x:c>
      <x:c r="Y73" s="113" t="str">
        <x:v>I10 | Picture 11 | Opening and closing MTM | source Sheet1 row 57</x:v>
      </x:c>
      <x:c r="Z73" s="113" t="str">
        <x:v>I10 | Picture 11 | Opening and closing MTM | source Sheet1 row 57</x:v>
      </x:c>
      <x:c r="AA73" s="113" t="str">
        <x:v>I10 | Picture 11 | Opening and closing MTM | source Sheet1 row 57</x:v>
      </x:c>
    </x:row>
    <x:row r="74" ht="23"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row>
    <x:row r="75" ht="23"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row>
    <x:row r="76" ht="23"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row>
    <x:row r="77" ht="23"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row>
    <x:row r="78" ht="23"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row>
    <x:row r="79" ht="23"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row>
    <x:row r="80" ht="23"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row>
    <x:row r="81" ht="23" customHeight="1">
      <x:c r="A81" s="9" t="str">
        <x:v>I11 | Picture 12 | CR, IR, FX and carry attribution | source Sheet1 row 64</x:v>
      </x:c>
      <x:c r="B81" s="113" t="str">
        <x:v>I11 | Picture 12 | CR, IR, FX and carry attribution | source Sheet1 row 64</x:v>
      </x:c>
      <x:c r="C81" s="113" t="str">
        <x:v>I11 | Picture 12 | CR, IR, FX and carry attribution | source Sheet1 row 64</x:v>
      </x:c>
      <x:c r="D81" s="113" t="str">
        <x:v>I11 | Picture 12 | CR, IR, FX and carry attribution | source Sheet1 row 64</x:v>
      </x:c>
      <x:c r="E81" s="113" t="str">
        <x:v>I11 | Picture 12 | CR, IR, FX and carry attribution | source Sheet1 row 64</x:v>
      </x:c>
      <x:c r="F81" s="113" t="str">
        <x:v>I11 | Picture 12 | CR, IR, FX and carry attribution | source Sheet1 row 64</x:v>
      </x:c>
      <x:c r="G81" s="113" t="str">
        <x:v>I11 | Picture 12 | CR, IR, FX and carry attribution | source Sheet1 row 64</x:v>
      </x:c>
      <x:c r="H81" s="113" t="str">
        <x:v>I11 | Picture 12 | CR, IR, FX and carry attribution | source Sheet1 row 64</x:v>
      </x:c>
      <x:c r="I81" s="113" t="str">
        <x:v>I11 | Picture 12 | CR, IR, FX and carry attribution | source Sheet1 row 64</x:v>
      </x:c>
      <x:c r="J81" s="113" t="str">
        <x:v>I11 | Picture 12 | CR, IR, FX and carry attribution | source Sheet1 row 64</x:v>
      </x:c>
      <x:c r="K81" s="113" t="str">
        <x:v>I11 | Picture 12 | CR, IR, FX and carry attribution | source Sheet1 row 64</x:v>
      </x:c>
      <x:c r="L81" s="113" t="str">
        <x:v>I11 | Picture 12 | CR, IR, FX and carry attribution | source Sheet1 row 64</x:v>
      </x:c>
      <x:c r="M81" s="113" t="str">
        <x:v>I11 | Picture 12 | CR, IR, FX and carry attribution | source Sheet1 row 64</x:v>
      </x:c>
      <x:c r="N81" s="113" t="str">
        <x:v>I11 | Picture 12 | CR, IR, FX and carry attribution | source Sheet1 row 64</x:v>
      </x:c>
      <x:c r="O81" s="113" t="str">
        <x:v>I11 | Picture 12 | CR, IR, FX and carry attribution | source Sheet1 row 64</x:v>
      </x:c>
      <x:c r="P81" s="113" t="str">
        <x:v>I11 | Picture 12 | CR, IR, FX and carry attribution | source Sheet1 row 64</x:v>
      </x:c>
      <x:c r="Q81" s="113" t="str">
        <x:v>I11 | Picture 12 | CR, IR, FX and carry attribution | source Sheet1 row 64</x:v>
      </x:c>
      <x:c r="R81" s="113" t="str">
        <x:v>I11 | Picture 12 | CR, IR, FX and carry attribution | source Sheet1 row 64</x:v>
      </x:c>
      <x:c r="S81" s="113" t="str">
        <x:v>I11 | Picture 12 | CR, IR, FX and carry attribution | source Sheet1 row 64</x:v>
      </x:c>
      <x:c r="T81" s="113" t="str">
        <x:v>I11 | Picture 12 | CR, IR, FX and carry attribution | source Sheet1 row 64</x:v>
      </x:c>
      <x:c r="U81" s="113" t="str">
        <x:v>I11 | Picture 12 | CR, IR, FX and carry attribution | source Sheet1 row 64</x:v>
      </x:c>
      <x:c r="V81" s="113" t="str">
        <x:v>I11 | Picture 12 | CR, IR, FX and carry attribution | source Sheet1 row 64</x:v>
      </x:c>
      <x:c r="W81" s="113" t="str">
        <x:v>I11 | Picture 12 | CR, IR, FX and carry attribution | source Sheet1 row 64</x:v>
      </x:c>
      <x:c r="X81" s="113" t="str">
        <x:v>I11 | Picture 12 | CR, IR, FX and carry attribution | source Sheet1 row 64</x:v>
      </x:c>
      <x:c r="Y81" s="113" t="str">
        <x:v>I11 | Picture 12 | CR, IR, FX and carry attribution | source Sheet1 row 64</x:v>
      </x:c>
      <x:c r="Z81" s="113" t="str">
        <x:v>I11 | Picture 12 | CR, IR, FX and carry attribution | source Sheet1 row 64</x:v>
      </x:c>
      <x:c r="AA81" s="113" t="str">
        <x:v>I11 | Picture 12 | CR, IR, FX and carry attribution | source Sheet1 row 64</x:v>
      </x:c>
    </x:row>
    <x:row r="82" ht="23"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row>
    <x:row r="83" ht="23"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row>
    <x:row r="84" ht="23"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row>
    <x:row r="85" ht="23"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row>
    <x:row r="86" ht="23"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row>
    <x:row r="87" ht="23"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row>
    <x:row r="88" ht="23"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row>
    <x:row r="89" ht="23" customHeight="1">
      <x:c r="A89" s="9" t="str">
        <x:v>I12 | Picture 13 | Daily accounting P&amp;L | source Sheet1 row 71</x:v>
      </x:c>
      <x:c r="B89" s="113" t="str">
        <x:v>I12 | Picture 13 | Daily accounting P&amp;L | source Sheet1 row 71</x:v>
      </x:c>
      <x:c r="C89" s="113" t="str">
        <x:v>I12 | Picture 13 | Daily accounting P&amp;L | source Sheet1 row 71</x:v>
      </x:c>
      <x:c r="D89" s="113" t="str">
        <x:v>I12 | Picture 13 | Daily accounting P&amp;L | source Sheet1 row 71</x:v>
      </x:c>
      <x:c r="E89" s="113" t="str">
        <x:v>I12 | Picture 13 | Daily accounting P&amp;L | source Sheet1 row 71</x:v>
      </x:c>
      <x:c r="F89" s="113" t="str">
        <x:v>I12 | Picture 13 | Daily accounting P&amp;L | source Sheet1 row 71</x:v>
      </x:c>
      <x:c r="G89" s="113" t="str">
        <x:v>I12 | Picture 13 | Daily accounting P&amp;L | source Sheet1 row 71</x:v>
      </x:c>
      <x:c r="H89" s="113" t="str">
        <x:v>I12 | Picture 13 | Daily accounting P&amp;L | source Sheet1 row 71</x:v>
      </x:c>
      <x:c r="I89" s="113" t="str">
        <x:v>I12 | Picture 13 | Daily accounting P&amp;L | source Sheet1 row 71</x:v>
      </x:c>
      <x:c r="J89" s="113" t="str">
        <x:v>I12 | Picture 13 | Daily accounting P&amp;L | source Sheet1 row 71</x:v>
      </x:c>
      <x:c r="K89" s="113" t="str">
        <x:v>I12 | Picture 13 | Daily accounting P&amp;L | source Sheet1 row 71</x:v>
      </x:c>
      <x:c r="L89" s="113" t="str">
        <x:v>I12 | Picture 13 | Daily accounting P&amp;L | source Sheet1 row 71</x:v>
      </x:c>
      <x:c r="M89" s="113" t="str">
        <x:v>I12 | Picture 13 | Daily accounting P&amp;L | source Sheet1 row 71</x:v>
      </x:c>
      <x:c r="N89" s="113" t="str">
        <x:v>I12 | Picture 13 | Daily accounting P&amp;L | source Sheet1 row 71</x:v>
      </x:c>
      <x:c r="O89" s="113" t="str">
        <x:v>I12 | Picture 13 | Daily accounting P&amp;L | source Sheet1 row 71</x:v>
      </x:c>
      <x:c r="P89" s="113" t="str">
        <x:v>I12 | Picture 13 | Daily accounting P&amp;L | source Sheet1 row 71</x:v>
      </x:c>
      <x:c r="Q89" s="113" t="str">
        <x:v>I12 | Picture 13 | Daily accounting P&amp;L | source Sheet1 row 71</x:v>
      </x:c>
      <x:c r="R89" s="113" t="str">
        <x:v>I12 | Picture 13 | Daily accounting P&amp;L | source Sheet1 row 71</x:v>
      </x:c>
      <x:c r="S89" s="113" t="str">
        <x:v>I12 | Picture 13 | Daily accounting P&amp;L | source Sheet1 row 71</x:v>
      </x:c>
      <x:c r="T89" s="113" t="str">
        <x:v>I12 | Picture 13 | Daily accounting P&amp;L | source Sheet1 row 71</x:v>
      </x:c>
      <x:c r="U89" s="113" t="str">
        <x:v>I12 | Picture 13 | Daily accounting P&amp;L | source Sheet1 row 71</x:v>
      </x:c>
      <x:c r="V89" s="113" t="str">
        <x:v>I12 | Picture 13 | Daily accounting P&amp;L | source Sheet1 row 71</x:v>
      </x:c>
      <x:c r="W89" s="113" t="str">
        <x:v>I12 | Picture 13 | Daily accounting P&amp;L | source Sheet1 row 71</x:v>
      </x:c>
      <x:c r="X89" s="113" t="str">
        <x:v>I12 | Picture 13 | Daily accounting P&amp;L | source Sheet1 row 71</x:v>
      </x:c>
      <x:c r="Y89" s="113" t="str">
        <x:v>I12 | Picture 13 | Daily accounting P&amp;L | source Sheet1 row 71</x:v>
      </x:c>
      <x:c r="Z89" s="113" t="str">
        <x:v>I12 | Picture 13 | Daily accounting P&amp;L | source Sheet1 row 71</x:v>
      </x:c>
      <x:c r="AA89" s="113" t="str">
        <x:v>I12 | Picture 13 | Daily accounting P&amp;L | source Sheet1 row 71</x:v>
      </x:c>
    </x:row>
    <x:row r="90" ht="23"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row>
    <x:row r="91" ht="23"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row>
    <x:row r="92" ht="23"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row>
    <x:row r="93" ht="23"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row>
    <x:row r="94" ht="23"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row>
    <x:row r="95" ht="23"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row>
    <x:row r="96" ht="23"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row>
    <x:row r="97" ht="23" customHeight="1">
      <x:c r="A97" s="9" t="str">
        <x:v>I13 | Picture 14 | Daily COF and alternate YTD | source Sheet1 row 78</x:v>
      </x:c>
      <x:c r="B97" s="113" t="str">
        <x:v>I13 | Picture 14 | Daily COF and alternate YTD | source Sheet1 row 78</x:v>
      </x:c>
      <x:c r="C97" s="113" t="str">
        <x:v>I13 | Picture 14 | Daily COF and alternate YTD | source Sheet1 row 78</x:v>
      </x:c>
      <x:c r="D97" s="113" t="str">
        <x:v>I13 | Picture 14 | Daily COF and alternate YTD | source Sheet1 row 78</x:v>
      </x:c>
      <x:c r="E97" s="113" t="str">
        <x:v>I13 | Picture 14 | Daily COF and alternate YTD | source Sheet1 row 78</x:v>
      </x:c>
      <x:c r="F97" s="113" t="str">
        <x:v>I13 | Picture 14 | Daily COF and alternate YTD | source Sheet1 row 78</x:v>
      </x:c>
      <x:c r="G97" s="113" t="str">
        <x:v>I13 | Picture 14 | Daily COF and alternate YTD | source Sheet1 row 78</x:v>
      </x:c>
      <x:c r="H97" s="113" t="str">
        <x:v>I13 | Picture 14 | Daily COF and alternate YTD | source Sheet1 row 78</x:v>
      </x:c>
      <x:c r="I97" s="113" t="str">
        <x:v>I13 | Picture 14 | Daily COF and alternate YTD | source Sheet1 row 78</x:v>
      </x:c>
      <x:c r="J97" s="113" t="str">
        <x:v>I13 | Picture 14 | Daily COF and alternate YTD | source Sheet1 row 78</x:v>
      </x:c>
      <x:c r="K97" s="113" t="str">
        <x:v>I13 | Picture 14 | Daily COF and alternate YTD | source Sheet1 row 78</x:v>
      </x:c>
      <x:c r="L97" s="113" t="str">
        <x:v>I13 | Picture 14 | Daily COF and alternate YTD | source Sheet1 row 78</x:v>
      </x:c>
      <x:c r="M97" s="113" t="str">
        <x:v>I13 | Picture 14 | Daily COF and alternate YTD | source Sheet1 row 78</x:v>
      </x:c>
      <x:c r="N97" s="113" t="str">
        <x:v>I13 | Picture 14 | Daily COF and alternate YTD | source Sheet1 row 78</x:v>
      </x:c>
      <x:c r="O97" s="113" t="str">
        <x:v>I13 | Picture 14 | Daily COF and alternate YTD | source Sheet1 row 78</x:v>
      </x:c>
      <x:c r="P97" s="113" t="str">
        <x:v>I13 | Picture 14 | Daily COF and alternate YTD | source Sheet1 row 78</x:v>
      </x:c>
      <x:c r="Q97" s="113" t="str">
        <x:v>I13 | Picture 14 | Daily COF and alternate YTD | source Sheet1 row 78</x:v>
      </x:c>
      <x:c r="R97" s="113" t="str">
        <x:v>I13 | Picture 14 | Daily COF and alternate YTD | source Sheet1 row 78</x:v>
      </x:c>
      <x:c r="S97" s="113" t="str">
        <x:v>I13 | Picture 14 | Daily COF and alternate YTD | source Sheet1 row 78</x:v>
      </x:c>
      <x:c r="T97" s="113" t="str">
        <x:v>I13 | Picture 14 | Daily COF and alternate YTD | source Sheet1 row 78</x:v>
      </x:c>
      <x:c r="U97" s="113" t="str">
        <x:v>I13 | Picture 14 | Daily COF and alternate YTD | source Sheet1 row 78</x:v>
      </x:c>
      <x:c r="V97" s="113" t="str">
        <x:v>I13 | Picture 14 | Daily COF and alternate YTD | source Sheet1 row 78</x:v>
      </x:c>
      <x:c r="W97" s="113" t="str">
        <x:v>I13 | Picture 14 | Daily COF and alternate YTD | source Sheet1 row 78</x:v>
      </x:c>
      <x:c r="X97" s="113" t="str">
        <x:v>I13 | Picture 14 | Daily COF and alternate YTD | source Sheet1 row 78</x:v>
      </x:c>
      <x:c r="Y97" s="113" t="str">
        <x:v>I13 | Picture 14 | Daily COF and alternate YTD | source Sheet1 row 78</x:v>
      </x:c>
      <x:c r="Z97" s="113" t="str">
        <x:v>I13 | Picture 14 | Daily COF and alternate YTD | source Sheet1 row 78</x:v>
      </x:c>
      <x:c r="AA97" s="113" t="str">
        <x:v>I13 | Picture 14 | Daily COF and alternate YTD | source Sheet1 row 78</x:v>
      </x:c>
    </x:row>
    <x:row r="98" ht="23"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row>
    <x:row r="99" ht="23"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row>
    <x:row r="100" ht="23"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row>
    <x:row r="101" ht="23"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row>
    <x:row r="102" ht="23"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row>
    <x:row r="103" ht="23"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row>
    <x:row r="104" ht="23"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row>
    <x:row r="105" ht="23" customHeight="1">
      <x:c r="A105" s="9" t="str">
        <x:v>I14 | Picture 15 | Residual and component changes | source Sheet1 row 86</x:v>
      </x:c>
      <x:c r="B105" s="113" t="str">
        <x:v>I14 | Picture 15 | Residual and component changes | source Sheet1 row 86</x:v>
      </x:c>
      <x:c r="C105" s="113" t="str">
        <x:v>I14 | Picture 15 | Residual and component changes | source Sheet1 row 86</x:v>
      </x:c>
      <x:c r="D105" s="113" t="str">
        <x:v>I14 | Picture 15 | Residual and component changes | source Sheet1 row 86</x:v>
      </x:c>
      <x:c r="E105" s="113" t="str">
        <x:v>I14 | Picture 15 | Residual and component changes | source Sheet1 row 86</x:v>
      </x:c>
      <x:c r="F105" s="113" t="str">
        <x:v>I14 | Picture 15 | Residual and component changes | source Sheet1 row 86</x:v>
      </x:c>
      <x:c r="G105" s="113" t="str">
        <x:v>I14 | Picture 15 | Residual and component changes | source Sheet1 row 86</x:v>
      </x:c>
      <x:c r="H105" s="113" t="str">
        <x:v>I14 | Picture 15 | Residual and component changes | source Sheet1 row 86</x:v>
      </x:c>
      <x:c r="I105" s="113" t="str">
        <x:v>I14 | Picture 15 | Residual and component changes | source Sheet1 row 86</x:v>
      </x:c>
      <x:c r="J105" s="113" t="str">
        <x:v>I14 | Picture 15 | Residual and component changes | source Sheet1 row 86</x:v>
      </x:c>
      <x:c r="K105" s="113" t="str">
        <x:v>I14 | Picture 15 | Residual and component changes | source Sheet1 row 86</x:v>
      </x:c>
      <x:c r="L105" s="113" t="str">
        <x:v>I14 | Picture 15 | Residual and component changes | source Sheet1 row 86</x:v>
      </x:c>
      <x:c r="M105" s="113" t="str">
        <x:v>I14 | Picture 15 | Residual and component changes | source Sheet1 row 86</x:v>
      </x:c>
      <x:c r="N105" s="113" t="str">
        <x:v>I14 | Picture 15 | Residual and component changes | source Sheet1 row 86</x:v>
      </x:c>
      <x:c r="O105" s="113" t="str">
        <x:v>I14 | Picture 15 | Residual and component changes | source Sheet1 row 86</x:v>
      </x:c>
      <x:c r="P105" s="113" t="str">
        <x:v>I14 | Picture 15 | Residual and component changes | source Sheet1 row 86</x:v>
      </x:c>
      <x:c r="Q105" s="113" t="str">
        <x:v>I14 | Picture 15 | Residual and component changes | source Sheet1 row 86</x:v>
      </x:c>
      <x:c r="R105" s="113" t="str">
        <x:v>I14 | Picture 15 | Residual and component changes | source Sheet1 row 86</x:v>
      </x:c>
      <x:c r="S105" s="113" t="str">
        <x:v>I14 | Picture 15 | Residual and component changes | source Sheet1 row 86</x:v>
      </x:c>
      <x:c r="T105" s="113" t="str">
        <x:v>I14 | Picture 15 | Residual and component changes | source Sheet1 row 86</x:v>
      </x:c>
      <x:c r="U105" s="113" t="str">
        <x:v>I14 | Picture 15 | Residual and component changes | source Sheet1 row 86</x:v>
      </x:c>
      <x:c r="V105" s="113" t="str">
        <x:v>I14 | Picture 15 | Residual and component changes | source Sheet1 row 86</x:v>
      </x:c>
      <x:c r="W105" s="113" t="str">
        <x:v>I14 | Picture 15 | Residual and component changes | source Sheet1 row 86</x:v>
      </x:c>
      <x:c r="X105" s="113" t="str">
        <x:v>I14 | Picture 15 | Residual and component changes | source Sheet1 row 86</x:v>
      </x:c>
      <x:c r="Y105" s="113" t="str">
        <x:v>I14 | Picture 15 | Residual and component changes | source Sheet1 row 86</x:v>
      </x:c>
      <x:c r="Z105" s="113" t="str">
        <x:v>I14 | Picture 15 | Residual and component changes | source Sheet1 row 86</x:v>
      </x:c>
      <x:c r="AA105" s="113" t="str">
        <x:v>I14 | Picture 15 | Residual and component changes | source Sheet1 row 86</x:v>
      </x:c>
    </x:row>
    <x:row r="106" ht="23"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row>
    <x:row r="107" ht="23"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row>
    <x:row r="108" ht="23"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row>
    <x:row r="109" ht="23"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row>
    <x:row r="110" ht="23"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row>
    <x:row r="111" ht="23"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row>
    <x:row r="112" ht="23"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row>
    <x:row r="113" ht="23" customHeight="1">
      <x:c r="A113" s="9" t="str">
        <x:v>I15 | Picture 16 | MTM components and settlement cash | source Sheet1 row 93</x:v>
      </x:c>
      <x:c r="B113" s="113" t="str">
        <x:v>I15 | Picture 16 | MTM components and settlement cash | source Sheet1 row 93</x:v>
      </x:c>
      <x:c r="C113" s="113" t="str">
        <x:v>I15 | Picture 16 | MTM components and settlement cash | source Sheet1 row 93</x:v>
      </x:c>
      <x:c r="D113" s="113" t="str">
        <x:v>I15 | Picture 16 | MTM components and settlement cash | source Sheet1 row 93</x:v>
      </x:c>
      <x:c r="E113" s="113" t="str">
        <x:v>I15 | Picture 16 | MTM components and settlement cash | source Sheet1 row 93</x:v>
      </x:c>
      <x:c r="F113" s="113" t="str">
        <x:v>I15 | Picture 16 | MTM components and settlement cash | source Sheet1 row 93</x:v>
      </x:c>
      <x:c r="G113" s="113" t="str">
        <x:v>I15 | Picture 16 | MTM components and settlement cash | source Sheet1 row 93</x:v>
      </x:c>
      <x:c r="H113" s="113" t="str">
        <x:v>I15 | Picture 16 | MTM components and settlement cash | source Sheet1 row 93</x:v>
      </x:c>
      <x:c r="I113" s="113" t="str">
        <x:v>I15 | Picture 16 | MTM components and settlement cash | source Sheet1 row 93</x:v>
      </x:c>
      <x:c r="J113" s="113" t="str">
        <x:v>I15 | Picture 16 | MTM components and settlement cash | source Sheet1 row 93</x:v>
      </x:c>
      <x:c r="K113" s="113" t="str">
        <x:v>I15 | Picture 16 | MTM components and settlement cash | source Sheet1 row 93</x:v>
      </x:c>
      <x:c r="L113" s="113" t="str">
        <x:v>I15 | Picture 16 | MTM components and settlement cash | source Sheet1 row 93</x:v>
      </x:c>
      <x:c r="M113" s="113" t="str">
        <x:v>I15 | Picture 16 | MTM components and settlement cash | source Sheet1 row 93</x:v>
      </x:c>
      <x:c r="N113" s="113" t="str">
        <x:v>I15 | Picture 16 | MTM components and settlement cash | source Sheet1 row 93</x:v>
      </x:c>
      <x:c r="O113" s="113" t="str">
        <x:v>I15 | Picture 16 | MTM components and settlement cash | source Sheet1 row 93</x:v>
      </x:c>
      <x:c r="P113" s="113" t="str">
        <x:v>I15 | Picture 16 | MTM components and settlement cash | source Sheet1 row 93</x:v>
      </x:c>
      <x:c r="Q113" s="113" t="str">
        <x:v>I15 | Picture 16 | MTM components and settlement cash | source Sheet1 row 93</x:v>
      </x:c>
      <x:c r="R113" s="113" t="str">
        <x:v>I15 | Picture 16 | MTM components and settlement cash | source Sheet1 row 93</x:v>
      </x:c>
      <x:c r="S113" s="113" t="str">
        <x:v>I15 | Picture 16 | MTM components and settlement cash | source Sheet1 row 93</x:v>
      </x:c>
      <x:c r="T113" s="113" t="str">
        <x:v>I15 | Picture 16 | MTM components and settlement cash | source Sheet1 row 93</x:v>
      </x:c>
      <x:c r="U113" s="113" t="str">
        <x:v>I15 | Picture 16 | MTM components and settlement cash | source Sheet1 row 93</x:v>
      </x:c>
      <x:c r="V113" s="113" t="str">
        <x:v>I15 | Picture 16 | MTM components and settlement cash | source Sheet1 row 93</x:v>
      </x:c>
      <x:c r="W113" s="113" t="str">
        <x:v>I15 | Picture 16 | MTM components and settlement cash | source Sheet1 row 93</x:v>
      </x:c>
      <x:c r="X113" s="113" t="str">
        <x:v>I15 | Picture 16 | MTM components and settlement cash | source Sheet1 row 93</x:v>
      </x:c>
      <x:c r="Y113" s="113" t="str">
        <x:v>I15 | Picture 16 | MTM components and settlement cash | source Sheet1 row 93</x:v>
      </x:c>
      <x:c r="Z113" s="113" t="str">
        <x:v>I15 | Picture 16 | MTM components and settlement cash | source Sheet1 row 93</x:v>
      </x:c>
      <x:c r="AA113" s="113" t="str">
        <x:v>I15 | Picture 16 | MTM components and settlement cash | source Sheet1 row 93</x:v>
      </x:c>
    </x:row>
    <x:row r="114" ht="23"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row>
    <x:row r="115" ht="23"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row>
    <x:row r="116" ht="23"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row>
    <x:row r="117" ht="23"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row>
    <x:row r="118" ht="23"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row>
    <x:row r="119" ht="23"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row>
    <x:row r="120" ht="23"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row>
    <x:row r="121" ht="23" customHeight="1">
      <x:c r="A121" s="9" t="str">
        <x:v>I16 | Picture 17 | Current / prior prices and MTD COF | source Sheet1 row 100</x:v>
      </x:c>
      <x:c r="B121" s="113" t="str">
        <x:v>I16 | Picture 17 | Current / prior prices and MTD COF | source Sheet1 row 100</x:v>
      </x:c>
      <x:c r="C121" s="113" t="str">
        <x:v>I16 | Picture 17 | Current / prior prices and MTD COF | source Sheet1 row 100</x:v>
      </x:c>
      <x:c r="D121" s="113" t="str">
        <x:v>I16 | Picture 17 | Current / prior prices and MTD COF | source Sheet1 row 100</x:v>
      </x:c>
      <x:c r="E121" s="113" t="str">
        <x:v>I16 | Picture 17 | Current / prior prices and MTD COF | source Sheet1 row 100</x:v>
      </x:c>
      <x:c r="F121" s="113" t="str">
        <x:v>I16 | Picture 17 | Current / prior prices and MTD COF | source Sheet1 row 100</x:v>
      </x:c>
      <x:c r="G121" s="113" t="str">
        <x:v>I16 | Picture 17 | Current / prior prices and MTD COF | source Sheet1 row 100</x:v>
      </x:c>
      <x:c r="H121" s="113" t="str">
        <x:v>I16 | Picture 17 | Current / prior prices and MTD COF | source Sheet1 row 100</x:v>
      </x:c>
      <x:c r="I121" s="113" t="str">
        <x:v>I16 | Picture 17 | Current / prior prices and MTD COF | source Sheet1 row 100</x:v>
      </x:c>
      <x:c r="J121" s="113" t="str">
        <x:v>I16 | Picture 17 | Current / prior prices and MTD COF | source Sheet1 row 100</x:v>
      </x:c>
      <x:c r="K121" s="113" t="str">
        <x:v>I16 | Picture 17 | Current / prior prices and MTD COF | source Sheet1 row 100</x:v>
      </x:c>
      <x:c r="L121" s="113" t="str">
        <x:v>I16 | Picture 17 | Current / prior prices and MTD COF | source Sheet1 row 100</x:v>
      </x:c>
      <x:c r="M121" s="113" t="str">
        <x:v>I16 | Picture 17 | Current / prior prices and MTD COF | source Sheet1 row 100</x:v>
      </x:c>
      <x:c r="N121" s="113" t="str">
        <x:v>I16 | Picture 17 | Current / prior prices and MTD COF | source Sheet1 row 100</x:v>
      </x:c>
      <x:c r="O121" s="113" t="str">
        <x:v>I16 | Picture 17 | Current / prior prices and MTD COF | source Sheet1 row 100</x:v>
      </x:c>
      <x:c r="P121" s="113" t="str">
        <x:v>I16 | Picture 17 | Current / prior prices and MTD COF | source Sheet1 row 100</x:v>
      </x:c>
      <x:c r="Q121" s="113" t="str">
        <x:v>I16 | Picture 17 | Current / prior prices and MTD COF | source Sheet1 row 100</x:v>
      </x:c>
      <x:c r="R121" s="113" t="str">
        <x:v>I16 | Picture 17 | Current / prior prices and MTD COF | source Sheet1 row 100</x:v>
      </x:c>
      <x:c r="S121" s="113" t="str">
        <x:v>I16 | Picture 17 | Current / prior prices and MTD COF | source Sheet1 row 100</x:v>
      </x:c>
      <x:c r="T121" s="113" t="str">
        <x:v>I16 | Picture 17 | Current / prior prices and MTD COF | source Sheet1 row 100</x:v>
      </x:c>
      <x:c r="U121" s="113" t="str">
        <x:v>I16 | Picture 17 | Current / prior prices and MTD COF | source Sheet1 row 100</x:v>
      </x:c>
      <x:c r="V121" s="113" t="str">
        <x:v>I16 | Picture 17 | Current / prior prices and MTD COF | source Sheet1 row 100</x:v>
      </x:c>
      <x:c r="W121" s="113" t="str">
        <x:v>I16 | Picture 17 | Current / prior prices and MTD COF | source Sheet1 row 100</x:v>
      </x:c>
      <x:c r="X121" s="113" t="str">
        <x:v>I16 | Picture 17 | Current / prior prices and MTD COF | source Sheet1 row 100</x:v>
      </x:c>
      <x:c r="Y121" s="113" t="str">
        <x:v>I16 | Picture 17 | Current / prior prices and MTD COF | source Sheet1 row 100</x:v>
      </x:c>
      <x:c r="Z121" s="113" t="str">
        <x:v>I16 | Picture 17 | Current / prior prices and MTD COF | source Sheet1 row 100</x:v>
      </x:c>
      <x:c r="AA121" s="113" t="str">
        <x:v>I16 | Picture 17 | Current / prior prices and MTD COF | source Sheet1 row 100</x:v>
      </x:c>
    </x:row>
    <x:row r="122" ht="23"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row>
    <x:row r="123" ht="23"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row>
    <x:row r="124" ht="23"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row>
    <x:row r="125" ht="23"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row>
    <x:row r="126" ht="23"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row>
    <x:row r="127" ht="23"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row>
    <x:row r="128" ht="23"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row>
    <x:row r="129" ht="23" customHeight="1">
      <x:c r="A129" s="9" t="str">
        <x:v>I17 | Picture 18 | YTD COF and valuation date | source Sheet1 row 108</x:v>
      </x:c>
      <x:c r="B129" s="113" t="str">
        <x:v>I17 | Picture 18 | YTD COF and valuation date | source Sheet1 row 108</x:v>
      </x:c>
      <x:c r="C129" s="113" t="str">
        <x:v>I17 | Picture 18 | YTD COF and valuation date | source Sheet1 row 108</x:v>
      </x:c>
      <x:c r="D129" s="113" t="str">
        <x:v>I17 | Picture 18 | YTD COF and valuation date | source Sheet1 row 108</x:v>
      </x:c>
      <x:c r="E129" s="113" t="str">
        <x:v>I17 | Picture 18 | YTD COF and valuation date | source Sheet1 row 108</x:v>
      </x:c>
      <x:c r="F129" s="113" t="str">
        <x:v>I17 | Picture 18 | YTD COF and valuation date | source Sheet1 row 108</x:v>
      </x:c>
      <x:c r="G129" s="113" t="str">
        <x:v>I17 | Picture 18 | YTD COF and valuation date | source Sheet1 row 108</x:v>
      </x:c>
      <x:c r="H129" s="113" t="str">
        <x:v>I17 | Picture 18 | YTD COF and valuation date | source Sheet1 row 108</x:v>
      </x:c>
      <x:c r="I129" s="113" t="str">
        <x:v>I17 | Picture 18 | YTD COF and valuation date | source Sheet1 row 108</x:v>
      </x:c>
      <x:c r="J129" s="113" t="str">
        <x:v>I17 | Picture 18 | YTD COF and valuation date | source Sheet1 row 108</x:v>
      </x:c>
      <x:c r="K129" s="113" t="str">
        <x:v>I17 | Picture 18 | YTD COF and valuation date | source Sheet1 row 108</x:v>
      </x:c>
      <x:c r="L129" s="113" t="str">
        <x:v>I17 | Picture 18 | YTD COF and valuation date | source Sheet1 row 108</x:v>
      </x:c>
      <x:c r="M129" s="113" t="str">
        <x:v>I17 | Picture 18 | YTD COF and valuation date | source Sheet1 row 108</x:v>
      </x:c>
      <x:c r="N129" s="113" t="str">
        <x:v>I17 | Picture 18 | YTD COF and valuation date | source Sheet1 row 108</x:v>
      </x:c>
      <x:c r="O129" s="113" t="str">
        <x:v>I17 | Picture 18 | YTD COF and valuation date | source Sheet1 row 108</x:v>
      </x:c>
      <x:c r="P129" s="113" t="str">
        <x:v>I17 | Picture 18 | YTD COF and valuation date | source Sheet1 row 108</x:v>
      </x:c>
      <x:c r="Q129" s="113" t="str">
        <x:v>I17 | Picture 18 | YTD COF and valuation date | source Sheet1 row 108</x:v>
      </x:c>
      <x:c r="R129" s="113" t="str">
        <x:v>I17 | Picture 18 | YTD COF and valuation date | source Sheet1 row 108</x:v>
      </x:c>
      <x:c r="S129" s="113" t="str">
        <x:v>I17 | Picture 18 | YTD COF and valuation date | source Sheet1 row 108</x:v>
      </x:c>
      <x:c r="T129" s="113" t="str">
        <x:v>I17 | Picture 18 | YTD COF and valuation date | source Sheet1 row 108</x:v>
      </x:c>
      <x:c r="U129" s="113" t="str">
        <x:v>I17 | Picture 18 | YTD COF and valuation date | source Sheet1 row 108</x:v>
      </x:c>
      <x:c r="V129" s="113" t="str">
        <x:v>I17 | Picture 18 | YTD COF and valuation date | source Sheet1 row 108</x:v>
      </x:c>
      <x:c r="W129" s="113" t="str">
        <x:v>I17 | Picture 18 | YTD COF and valuation date | source Sheet1 row 108</x:v>
      </x:c>
      <x:c r="X129" s="113" t="str">
        <x:v>I17 | Picture 18 | YTD COF and valuation date | source Sheet1 row 108</x:v>
      </x:c>
      <x:c r="Y129" s="113" t="str">
        <x:v>I17 | Picture 18 | YTD COF and valuation date | source Sheet1 row 108</x:v>
      </x:c>
      <x:c r="Z129" s="113" t="str">
        <x:v>I17 | Picture 18 | YTD COF and valuation date | source Sheet1 row 108</x:v>
      </x:c>
      <x:c r="AA129" s="113" t="str">
        <x:v>I17 | Picture 18 | YTD COF and valuation date | source Sheet1 row 108</x:v>
      </x:c>
    </x:row>
    <x:row r="130" ht="23"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row>
    <x:row r="131" ht="23"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row>
    <x:row r="132" ht="23"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row>
    <x:row r="133" ht="23"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row>
    <x:row r="134" ht="23"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row>
    <x:row r="135" ht="23"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row>
    <x:row r="136" ht="23"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row>
    <x:row r="137" ht="23" customHeight="1">
      <x:c r="A137" s="9" t="str">
        <x:v>I18 | Picture 19 | Bond ISIN and EOD / BVAL prices | source Sheet1 row 115</x:v>
      </x:c>
      <x:c r="B137" s="113" t="str">
        <x:v>I18 | Picture 19 | Bond ISIN and EOD / BVAL prices | source Sheet1 row 115</x:v>
      </x:c>
      <x:c r="C137" s="113" t="str">
        <x:v>I18 | Picture 19 | Bond ISIN and EOD / BVAL prices | source Sheet1 row 115</x:v>
      </x:c>
      <x:c r="D137" s="113" t="str">
        <x:v>I18 | Picture 19 | Bond ISIN and EOD / BVAL prices | source Sheet1 row 115</x:v>
      </x:c>
      <x:c r="E137" s="113" t="str">
        <x:v>I18 | Picture 19 | Bond ISIN and EOD / BVAL prices | source Sheet1 row 115</x:v>
      </x:c>
      <x:c r="F137" s="113" t="str">
        <x:v>I18 | Picture 19 | Bond ISIN and EOD / BVAL prices | source Sheet1 row 115</x:v>
      </x:c>
      <x:c r="G137" s="113" t="str">
        <x:v>I18 | Picture 19 | Bond ISIN and EOD / BVAL prices | source Sheet1 row 115</x:v>
      </x:c>
      <x:c r="H137" s="113" t="str">
        <x:v>I18 | Picture 19 | Bond ISIN and EOD / BVAL prices | source Sheet1 row 115</x:v>
      </x:c>
      <x:c r="I137" s="113" t="str">
        <x:v>I18 | Picture 19 | Bond ISIN and EOD / BVAL prices | source Sheet1 row 115</x:v>
      </x:c>
      <x:c r="J137" s="113" t="str">
        <x:v>I18 | Picture 19 | Bond ISIN and EOD / BVAL prices | source Sheet1 row 115</x:v>
      </x:c>
      <x:c r="K137" s="113" t="str">
        <x:v>I18 | Picture 19 | Bond ISIN and EOD / BVAL prices | source Sheet1 row 115</x:v>
      </x:c>
      <x:c r="L137" s="113" t="str">
        <x:v>I18 | Picture 19 | Bond ISIN and EOD / BVAL prices | source Sheet1 row 115</x:v>
      </x:c>
      <x:c r="M137" s="113" t="str">
        <x:v>I18 | Picture 19 | Bond ISIN and EOD / BVAL prices | source Sheet1 row 115</x:v>
      </x:c>
      <x:c r="N137" s="113" t="str">
        <x:v>I18 | Picture 19 | Bond ISIN and EOD / BVAL prices | source Sheet1 row 115</x:v>
      </x:c>
      <x:c r="O137" s="113" t="str">
        <x:v>I18 | Picture 19 | Bond ISIN and EOD / BVAL prices | source Sheet1 row 115</x:v>
      </x:c>
      <x:c r="P137" s="113" t="str">
        <x:v>I18 | Picture 19 | Bond ISIN and EOD / BVAL prices | source Sheet1 row 115</x:v>
      </x:c>
      <x:c r="Q137" s="113" t="str">
        <x:v>I18 | Picture 19 | Bond ISIN and EOD / BVAL prices | source Sheet1 row 115</x:v>
      </x:c>
      <x:c r="R137" s="113" t="str">
        <x:v>I18 | Picture 19 | Bond ISIN and EOD / BVAL prices | source Sheet1 row 115</x:v>
      </x:c>
      <x:c r="S137" s="113" t="str">
        <x:v>I18 | Picture 19 | Bond ISIN and EOD / BVAL prices | source Sheet1 row 115</x:v>
      </x:c>
      <x:c r="T137" s="113" t="str">
        <x:v>I18 | Picture 19 | Bond ISIN and EOD / BVAL prices | source Sheet1 row 115</x:v>
      </x:c>
      <x:c r="U137" s="113" t="str">
        <x:v>I18 | Picture 19 | Bond ISIN and EOD / BVAL prices | source Sheet1 row 115</x:v>
      </x:c>
      <x:c r="V137" s="113" t="str">
        <x:v>I18 | Picture 19 | Bond ISIN and EOD / BVAL prices | source Sheet1 row 115</x:v>
      </x:c>
      <x:c r="W137" s="113" t="str">
        <x:v>I18 | Picture 19 | Bond ISIN and EOD / BVAL prices | source Sheet1 row 115</x:v>
      </x:c>
      <x:c r="X137" s="113" t="str">
        <x:v>I18 | Picture 19 | Bond ISIN and EOD / BVAL prices | source Sheet1 row 115</x:v>
      </x:c>
      <x:c r="Y137" s="113" t="str">
        <x:v>I18 | Picture 19 | Bond ISIN and EOD / BVAL prices | source Sheet1 row 115</x:v>
      </x:c>
      <x:c r="Z137" s="113" t="str">
        <x:v>I18 | Picture 19 | Bond ISIN and EOD / BVAL prices | source Sheet1 row 115</x:v>
      </x:c>
      <x:c r="AA137" s="113" t="str">
        <x:v>I18 | Picture 19 | Bond ISIN and EOD / BVAL prices | source Sheet1 row 115</x:v>
      </x:c>
    </x:row>
    <x:row r="138" ht="23"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row>
    <x:row r="139" ht="23"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row>
    <x:row r="140" ht="23"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row>
    <x:row r="141" ht="23"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row>
    <x:row r="142" ht="23"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row>
    <x:row r="143" ht="23"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row>
    <x:row r="144" ht="23" customHeight="1">
      <x:c r="A144" s="9" t="str">
        <x:v>I19 | Picture 20 | Summit swap ticket | source Sheet1 row 121</x:v>
      </x:c>
      <x:c r="B144" s="113" t="str">
        <x:v>I19 | Picture 20 | Summit swap ticket | source Sheet1 row 121</x:v>
      </x:c>
      <x:c r="C144" s="113" t="str">
        <x:v>I19 | Picture 20 | Summit swap ticket | source Sheet1 row 121</x:v>
      </x:c>
      <x:c r="D144" s="113" t="str">
        <x:v>I19 | Picture 20 | Summit swap ticket | source Sheet1 row 121</x:v>
      </x:c>
      <x:c r="E144" s="113" t="str">
        <x:v>I19 | Picture 20 | Summit swap ticket | source Sheet1 row 121</x:v>
      </x:c>
      <x:c r="F144" s="113" t="str">
        <x:v>I19 | Picture 20 | Summit swap ticket | source Sheet1 row 121</x:v>
      </x:c>
      <x:c r="G144" s="113" t="str">
        <x:v>I19 | Picture 20 | Summit swap ticket | source Sheet1 row 121</x:v>
      </x:c>
      <x:c r="H144" s="113" t="str">
        <x:v>I19 | Picture 20 | Summit swap ticket | source Sheet1 row 121</x:v>
      </x:c>
      <x:c r="I144" s="113" t="str">
        <x:v>I19 | Picture 20 | Summit swap ticket | source Sheet1 row 121</x:v>
      </x:c>
      <x:c r="J144" s="113" t="str">
        <x:v>I19 | Picture 20 | Summit swap ticket | source Sheet1 row 121</x:v>
      </x:c>
      <x:c r="K144" s="113" t="str">
        <x:v>I19 | Picture 20 | Summit swap ticket | source Sheet1 row 121</x:v>
      </x:c>
      <x:c r="L144" s="113" t="str">
        <x:v>I19 | Picture 20 | Summit swap ticket | source Sheet1 row 121</x:v>
      </x:c>
      <x:c r="M144" s="113" t="str">
        <x:v>I19 | Picture 20 | Summit swap ticket | source Sheet1 row 121</x:v>
      </x:c>
      <x:c r="N144" s="113" t="str">
        <x:v>I19 | Picture 20 | Summit swap ticket | source Sheet1 row 121</x:v>
      </x:c>
      <x:c r="O144" s="113" t="str">
        <x:v>I19 | Picture 20 | Summit swap ticket | source Sheet1 row 121</x:v>
      </x:c>
      <x:c r="P144" s="113" t="str">
        <x:v>I19 | Picture 20 | Summit swap ticket | source Sheet1 row 121</x:v>
      </x:c>
      <x:c r="Q144" s="113" t="str">
        <x:v>I19 | Picture 20 | Summit swap ticket | source Sheet1 row 121</x:v>
      </x:c>
      <x:c r="R144" s="113" t="str">
        <x:v>I19 | Picture 20 | Summit swap ticket | source Sheet1 row 121</x:v>
      </x:c>
      <x:c r="S144" s="113" t="str">
        <x:v>I19 | Picture 20 | Summit swap ticket | source Sheet1 row 121</x:v>
      </x:c>
      <x:c r="T144" s="113" t="str">
        <x:v>I19 | Picture 20 | Summit swap ticket | source Sheet1 row 121</x:v>
      </x:c>
      <x:c r="U144" s="113" t="str">
        <x:v>I19 | Picture 20 | Summit swap ticket | source Sheet1 row 121</x:v>
      </x:c>
      <x:c r="V144" s="113" t="str">
        <x:v>I19 | Picture 20 | Summit swap ticket | source Sheet1 row 121</x:v>
      </x:c>
      <x:c r="W144" s="113" t="str">
        <x:v>I19 | Picture 20 | Summit swap ticket | source Sheet1 row 121</x:v>
      </x:c>
      <x:c r="X144" s="113" t="str">
        <x:v>I19 | Picture 20 | Summit swap ticket | source Sheet1 row 121</x:v>
      </x:c>
      <x:c r="Y144" s="113" t="str">
        <x:v>I19 | Picture 20 | Summit swap ticket | source Sheet1 row 121</x:v>
      </x:c>
      <x:c r="Z144" s="113" t="str">
        <x:v>I19 | Picture 20 | Summit swap ticket | source Sheet1 row 121</x:v>
      </x:c>
      <x:c r="AA144" s="113" t="str">
        <x:v>I19 | Picture 20 | Summit swap ticket | source Sheet1 row 121</x:v>
      </x:c>
    </x:row>
    <x:row r="145" ht="23"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row>
    <x:row r="146" ht="23"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row>
    <x:row r="147" ht="23"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row>
    <x:row r="148" ht="23"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row>
    <x:row r="149" ht="23"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row>
    <x:row r="150" ht="23"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row>
    <x:row r="151" ht="23"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row>
    <x:row r="152" ht="23"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row>
    <x:row r="153" ht="23"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row>
    <x:row r="154" ht="23"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row>
    <x:row r="155" ht="23"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row>
    <x:row r="156" ht="23"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row>
    <x:row r="157" ht="23"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row>
    <x:row r="158" ht="23"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row>
    <x:row r="159" ht="23"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row>
    <x:row r="160" ht="23"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row>
    <x:row r="161" ht="23"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row>
    <x:row r="162" ht="23"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row>
    <x:row r="163" ht="23"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row>
    <x:row r="164" ht="23"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row>
    <x:row r="165" ht="23"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row>
    <x:row r="166" ht="23"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row>
    <x:row r="167" ht="23"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row>
    <x:row r="168" ht="23"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row>
    <x:row r="169" ht="23"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row>
    <x:row r="170" ht="23"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row>
    <x:row r="171" ht="23"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row>
    <x:row r="172" ht="23"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row>
    <x:row r="173" ht="23"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row>
    <x:row r="174" ht="23"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row>
    <x:row r="175" ht="23"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row>
    <x:row r="176" ht="23"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row>
    <x:row r="177" ht="23"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row>
    <x:row r="178" ht="23"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row>
    <x:row r="179" ht="23"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row>
    <x:row r="180" ht="23"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row>
    <x:row r="181" ht="23"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row>
    <x:row r="182" ht="23"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row>
    <x:row r="183" ht="23"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row>
    <x:row r="184" ht="23"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row>
    <x:row r="185" ht="23"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row>
    <x:row r="186" ht="23"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row>
    <x:row r="187" ht="23"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row>
    <x:row r="188" ht="23"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row>
    <x:row r="189" ht="23"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row>
    <x:row r="190" ht="23"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row>
    <x:row r="191" ht="23"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row>
    <x:row r="192" ht="23"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row>
    <x:row r="193" ht="23"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row>
    <x:row r="194" ht="23"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row>
    <x:row r="195" ht="23"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row>
    <x:row r="196" ht="23"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row>
    <x:row r="197" ht="23"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row>
    <x:row r="198" ht="23"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row>
    <x:row r="199" ht="23"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row>
    <x:row r="200" ht="23"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row>
    <x:row r="201" ht="23"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row>
    <x:row r="202" ht="23"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row>
    <x:row r="203" ht="23"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row>
    <x:row r="204" ht="23"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row>
    <x:row r="205" ht="23"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row>
    <x:row r="206" ht="23"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row>
    <x:row r="207" ht="23"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row>
    <x:row r="208" ht="23"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row>
    <x:row r="209" ht="23"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row>
    <x:row r="210" ht="23"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row>
    <x:row r="211" ht="23"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row>
    <x:row r="212" ht="23"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row>
    <x:row r="213" ht="23"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row>
    <x:row r="214" ht="23"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row>
    <x:row r="215" ht="23"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row>
    <x:row r="216" ht="23"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row>
    <x:row r="217" ht="23"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row>
    <x:row r="218" ht="23"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row>
    <x:row r="219" ht="23"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row>
    <x:row r="220" ht="23"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row>
    <x:row r="221" ht="23"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row>
    <x:row r="222" ht="23"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row>
    <x:row r="223" ht="23"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row>
    <x:row r="224" ht="23"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row>
    <x:row r="225" ht="23"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row>
    <x:row r="226" ht="23"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row>
    <x:row r="227" ht="23"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row>
    <x:row r="228" ht="23"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row>
    <x:row r="229" ht="23"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row>
    <x:row r="230" ht="23"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row>
    <x:row r="231" ht="23"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row>
    <x:row r="232" ht="23"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row>
    <x:row r="233" ht="23"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row>
    <x:row r="234" ht="23"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row>
    <x:row r="235" ht="23"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row>
    <x:row r="236" ht="23"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row>
    <x:row r="237" ht="23"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row>
    <x:row r="238" ht="23"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row>
    <x:row r="239" ht="23"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row>
    <x:row r="240" ht="23"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row>
    <x:row r="241" ht="23"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row>
    <x:row r="242" ht="23"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row>
    <x:row r="243" ht="23"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row>
    <x:row r="244" ht="23"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row>
    <x:row r="245" ht="23"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row>
    <x:row r="246" ht="23"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row>
    <x:row r="247" ht="23"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row>
    <x:row r="248" ht="23"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row>
  </x:sheetData>
  <x:mergeCells>
    <x:mergeCell ref="A1:AA1"/>
    <x:mergeCell ref="A2:AA2"/>
    <x:mergeCell ref="A5:AA5"/>
    <x:mergeCell ref="A12:AA12"/>
    <x:mergeCell ref="A19:AA19"/>
    <x:mergeCell ref="A26:AA26"/>
    <x:mergeCell ref="A32:AA32"/>
    <x:mergeCell ref="A40:AA40"/>
    <x:mergeCell ref="A48:AA48"/>
    <x:mergeCell ref="A57:AA57"/>
    <x:mergeCell ref="A65:AA65"/>
    <x:mergeCell ref="A73:AA73"/>
    <x:mergeCell ref="A81:AA81"/>
    <x:mergeCell ref="A89:AA89"/>
    <x:mergeCell ref="A97:AA97"/>
    <x:mergeCell ref="A105:AA105"/>
    <x:mergeCell ref="A113:AA113"/>
    <x:mergeCell ref="A121:AA121"/>
    <x:mergeCell ref="A129:AA129"/>
    <x:mergeCell ref="A137:AA137"/>
    <x:mergeCell ref="A144:AA144"/>
  </x:mergeCells>
  <x:pageMargins left="0.7" right="0.7" top="0.75" bottom="0.75" header="0.3" footer="0.3"/>
  <x:drawing xmlns:r="http://schemas.openxmlformats.org/officeDocument/2006/relationships" r:id="R2ed1a81f24334b11"/>
</x:worksheet>
</file>