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2a43a9102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 Sep 2026" sheetId="1" r:id="R8c8776ed567048cd"/>
    <x:sheet xmlns:r="http://schemas.openxmlformats.org/officeDocument/2006/relationships" name="SOFR Inputs" sheetId="2" r:id="R318d6df9616646f4"/>
    <x:sheet xmlns:r="http://schemas.openxmlformats.org/officeDocument/2006/relationships" name="2022 Method" sheetId="3" r:id="R9c38e9a52cb0403c"/>
    <x:sheet xmlns:r="http://schemas.openxmlformats.org/officeDocument/2006/relationships" name="DF-Weighted Optional" sheetId="4" r:id="R5672a809c9f5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;[Red](0.0000);–"/>
    <x:numFmt numFmtId="201" formatCode="0.0000&quot;%&quot;;[Red](0.0000&quot;%&quot;);-"/>
    <x:numFmt numFmtId="202" formatCode="0.0000;[Red](0.0000);-"/>
    <x:numFmt numFmtId="203" formatCode="0.000000;[Red](0.000000);-"/>
    <x:numFmt numFmtId="204" formatCode="0.0000"/>
    <x:numFmt numFmtId="205" formatCode="0.000000"/>
  </x:numFmts>
  <x:fonts count="16">
    <x:font>
      <x:sz val="11"/>
      <x:name val="Carlito"/>
    </x:font>
    <x:font>
      <x:b/>
      <x:sz val="17"/>
      <x:color rgb="FFFFFFFF"/>
      <x:name val="Carlito"/>
    </x:font>
    <x:font>
      <x:sz val="10"/>
      <x:color rgb="FF264766"/>
      <x:name val="Carlito"/>
    </x:font>
    <x:font>
      <x:sz val="9"/>
      <x:color rgb="FF6B7280"/>
      <x:name val="Carlito"/>
    </x:font>
    <x:font>
      <x:b/>
      <x:sz val="10"/>
      <x:color rgb="FFFFFFFF"/>
      <x:name val="Carlito"/>
    </x:font>
    <x:font>
      <x:sz val="11"/>
      <x:color rgb="FF1C2933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4"/>
      <x:color rgb="FFFFFFFF"/>
      <x:name val="Carlito"/>
    </x:font>
    <x:font>
      <x:sz val="11"/>
      <x:color rgb="FF44546A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FFFFFF"/>
      <x:name val="Carlito"/>
    </x:font>
    <x:font>
      <x:b/>
      <x:sz val="13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32A43"/>
      </x:patternFill>
    </x:fill>
    <x:fill>
      <x:patternFill patternType="solid">
        <x:fgColor rgb="FFEAF4FB"/>
      </x:patternFill>
    </x:fill>
    <x:fill>
      <x:patternFill patternType="solid">
        <x:fgColor rgb="FFEFF5F8"/>
      </x:patternFill>
    </x:fill>
    <x:fill>
      <x:patternFill patternType="solid">
        <x:fgColor rgb="FFF3F4F6"/>
      </x:patternFill>
    </x:fill>
    <x:fill>
      <x:patternFill patternType="solid">
        <x:fgColor rgb="FF1C5374"/>
      </x:patternFill>
    </x:fill>
    <x:fill>
      <x:patternFill patternType="solid">
        <x:fgColor rgb="FFFFF2B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6FA"/>
      </x:patternFill>
    </x:fill>
    <x:fill>
      <x:patternFill patternType="solid">
        <x:fgColor rgb="FFFFF2CC"/>
      </x:patternFill>
    </x:fill>
    <x:fill>
      <x:patternFill patternType="solid">
        <x:fgColor rgb="FF102947"/>
      </x:patternFill>
    </x:fill>
    <x:fill>
      <x:patternFill patternType="solid">
        <x:fgColor rgb="FF17365D"/>
      </x:patternFill>
    </x:fill>
    <x:fill>
      <x:patternFill patternType="solid">
        <x:fgColor rgb="FFE8F2F0"/>
      </x:patternFill>
    </x:fill>
    <x:fill>
      <x:patternFill patternType="solid">
        <x:fgColor rgb="FFEDF4FA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right"/>
    </x:xf>
    <x:xf numFmtId="0" fontId="6" fillId="7" borderId="0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 applyAlignment="1">
      <x:alignment horizontal="right"/>
    </x:xf>
    <x:xf numFmtId="0" fontId="6" fillId="7" borderId="1" xfId="0" applyNumberFormat="1" applyFont="1" applyFill="1" applyBorder="1" applyAlignment="1">
      <x:alignment horizontal="right"/>
    </x:xf>
    <x:xf numFmtId="0" fontId="7" fillId="7" borderId="1" xfId="0" applyNumberFormat="1" applyFont="1" applyFill="1" applyBorder="1" applyAlignment="1">
      <x:alignment horizontal="right"/>
    </x:xf>
    <x:xf numFmtId="200" fontId="7" fillId="7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8" fillId="0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201" fontId="12" fillId="9" borderId="0" xfId="0" applyNumberFormat="1" applyFont="1" applyFill="1" applyBorder="1"/>
    <x:xf numFmtId="202" fontId="0" fillId="0" borderId="0" xfId="0" applyNumberFormat="1" applyFont="1" applyFill="1" applyBorder="1"/>
    <x:xf numFmtId="202" fontId="8" fillId="0" borderId="0" xfId="0" applyNumberFormat="1" applyFont="1" applyFill="1" applyBorder="1"/>
    <x:xf numFmtId="200" fontId="13" fillId="7" borderId="0" xfId="0" applyNumberFormat="1" applyFont="1" applyFill="1" applyBorder="1" applyAlignment="1">
      <x:alignment horizontal="right"/>
    </x:xf>
    <x:xf numFmtId="200" fontId="13" fillId="10" borderId="0" xfId="0" applyNumberFormat="1" applyFont="1" applyFill="1" applyBorder="1" applyAlignment="1">
      <x:alignment horizontal="right"/>
    </x:xf>
    <x:xf numFmtId="200" fontId="6" fillId="10" borderId="0" xfId="0" applyNumberFormat="1" applyFont="1" applyFill="1" applyBorder="1" applyAlignment="1">
      <x:alignment horizontal="right"/>
    </x:xf>
    <x:xf numFmtId="200" fontId="7" fillId="10" borderId="0" xfId="0" applyNumberFormat="1" applyFont="1" applyFill="1" applyBorder="1" applyAlignment="1">
      <x:alignment horizontal="right"/>
    </x:xf>
    <x:xf numFmtId="200" fontId="7" fillId="11" borderId="0" xfId="0" applyNumberFormat="1" applyFont="1" applyFill="1" applyBorder="1" applyAlignment="1">
      <x:alignment horizontal="right"/>
    </x:xf>
    <x:xf numFmtId="200" fontId="12" fillId="10" borderId="0" xfId="0" applyNumberFormat="1" applyFont="1" applyFill="1" applyBorder="1" applyAlignment="1">
      <x:alignment horizontal="right"/>
    </x:xf>
    <x:xf numFmtId="200" fontId="12" fillId="11" borderId="0" xfId="0" applyNumberFormat="1" applyFont="1" applyFill="1" applyBorder="1" applyAlignment="1">
      <x:alignment horizontal="right"/>
    </x:xf>
    <x:xf numFmtId="202" fontId="7" fillId="11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right"/>
    </x:xf>
    <x:xf numFmtId="202" fontId="6" fillId="10" borderId="0" xfId="0" applyNumberFormat="1" applyFont="1" applyFill="1" applyBorder="1" applyAlignment="1">
      <x:alignment horizontal="right"/>
    </x:xf>
    <x:xf numFmtId="202" fontId="12" fillId="11" borderId="0" xfId="0" applyNumberFormat="1" applyFont="1" applyFill="1" applyBorder="1" applyAlignment="1">
      <x:alignment horizontal="right"/>
    </x:xf>
    <x:xf numFmtId="202" fontId="13" fillId="10" borderId="0" xfId="0" applyNumberFormat="1" applyFont="1" applyFill="1" applyBorder="1" applyAlignment="1">
      <x:alignment horizontal="right"/>
    </x:xf>
    <x:xf numFmtId="0" fontId="1" fillId="12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/>
    </x:xf>
    <x:xf numFmtId="202" fontId="12" fillId="14" borderId="0" xfId="0" applyNumberFormat="1" applyFont="1" applyFill="1" applyBorder="1" applyAlignment="1">
      <x:alignment horizontal="right"/>
    </x:xf>
    <x:xf numFmtId="202" fontId="6" fillId="14" borderId="0" xfId="0" applyNumberFormat="1" applyFont="1" applyFill="1" applyBorder="1" applyAlignment="1">
      <x:alignment horizontal="right"/>
    </x:xf>
    <x:xf numFmtId="201" fontId="8" fillId="14" borderId="0" xfId="0" applyNumberFormat="1" applyFont="1" applyFill="1" applyBorder="1"/>
    <x:xf numFmtId="0" fontId="1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3" fontId="12" fillId="11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/>
    </x:xf>
    <x:xf numFmtId="201" fontId="12" fillId="11" borderId="0" xfId="0" applyNumberFormat="1" applyFont="1" applyFill="1" applyBorder="1"/>
    <x:xf numFmtId="0" fontId="9" fillId="12" borderId="0" xfId="0" applyNumberFormat="1" applyFont="1" applyFill="1" applyBorder="1"/>
    <x:xf numFmtId="204" fontId="0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15" borderId="0" xfId="0" applyNumberFormat="1" applyFont="1" applyFill="1" applyBorder="1"/>
    <x:xf numFmtId="202" fontId="8" fillId="15" borderId="0" xfId="0" applyNumberFormat="1" applyFont="1" applyFill="1" applyBorder="1"/>
    <x:xf numFmtId="0" fontId="15" fillId="12" borderId="0" xfId="0" applyNumberFormat="1" applyFont="1" applyFill="1" applyBorder="1"/>
    <x:xf numFmtId="0" fontId="8" fillId="0" borderId="0" xfId="0" applyNumberFormat="1" applyFont="1" applyFill="1" applyBorder="1"/>
    <x:xf numFmtId="205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eb6858c5943bb" /><Relationship Type="http://schemas.openxmlformats.org/officeDocument/2006/relationships/theme" Target="/xl/theme/theme1.xml" Id="R43288223d3c443e6" /><Relationship Type="http://schemas.openxmlformats.org/officeDocument/2006/relationships/sharedStrings" Target="/xl/sharedStrings.xml" Id="R2489c945127b4d28" /><Relationship Type="http://schemas.openxmlformats.org/officeDocument/2006/relationships/worksheet" Target="/xl/worksheets/sheet1.xml" Id="R8c8776ed567048cd" /><Relationship Type="http://schemas.openxmlformats.org/officeDocument/2006/relationships/worksheet" Target="/xl/worksheets/sheet2.xml" Id="R318d6df9616646f4" /><Relationship Type="http://schemas.openxmlformats.org/officeDocument/2006/relationships/worksheet" Target="/xl/worksheets/sheet3.xml" Id="R9c38e9a52cb0403c" /><Relationship Type="http://schemas.openxmlformats.org/officeDocument/2006/relationships/worksheet" Target="/xl/worksheets/sheet4.xml" Id="R5672a809c9f54a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29" hidden="0" customWidth="1"/>
    <x:col min="4" max="4" width="31" hidden="0" customWidth="1"/>
    <x:col min="5" max="5" width="36" hidden="0" customWidth="1"/>
  </x:cols>
  <x:sheetData>
    <x:row r="1" ht="28" customHeight="1">
      <x:c r="A1" s="75" t="str">
        <x:v>USD FUNDING SPREAD CURVE | 30 SEP 2026 | REVISED</x:v>
      </x:c>
      <x:c r="B1" s="75"/>
      <x:c r="C1" s="75"/>
      <x:c r="D1" s="75"/>
      <x:c r="E1" s="77"/>
    </x:row>
    <x:row r="2" ht="24" customHeight="1">
      <x:c r="A2" s="10" t="str">
        <x:v>Three editable spreads only: 121 bps (O/N), 171 bps (6M), 151 bps (6Y); no blended buckets.</x:v>
      </x:c>
      <x:c r="B2" s="10"/>
      <x:c r="C2" s="10"/>
      <x:c r="D2" s="10"/>
    </x:row>
    <x:row r="3" ht="24" customHeight="1">
      <x:c r="A3" s="16" t="str">
        <x:v>C: tenor-weighted average | D: interval-implied forward spread | E: SOFR forward + D/100.</x:v>
      </x:c>
      <x:c r="B3" s="16"/>
      <x:c r="C3" s="16"/>
      <x:c r="D3" s="16"/>
    </x:row>
    <x:row r="4" ht="24" customHeight="1">
      <x:c r="A4" s="22" t="str">
        <x:v>These are illustrative zero-spread equivalents, NOT exact spot SOFR swap-quote spread adjustments; no PV fitting.</x:v>
      </x:c>
      <x:c r="B4" s="22"/>
      <x:c r="C4" s="22"/>
      <x:c r="D4" s="22"/>
    </x:row>
    <x:row r="5" ht="34" customHeight="1">
      <x:c r="A5" s="78" t="str">
        <x:v>Tenor</x:v>
      </x:c>
      <x:c r="B5" s="78" t="str">
        <x:v>Spread before average (bps)</x:v>
      </x:c>
      <x:c r="C5" s="78" t="str">
        <x:v>Suggested spread (bps)</x:v>
      </x:c>
      <x:c r="D5" s="78" t="str">
        <x:v>Implied forward spread (bps)</x:v>
      </x:c>
      <x:c r="E5" s="81" t="str">
        <x:v>All-in forward funding rate (%)</x:v>
      </x:c>
    </x:row>
    <x:row r="6" ht="19" customHeight="1">
      <x:c r="A6" s="35" t="str">
        <x:v>O/N</x:v>
      </x:c>
      <x:c r="B6" s="70" t="n">
        <x:v>121</x:v>
      </x:c>
      <x:c r="C6" s="71" t="n">
        <x:f>B6</x:f>
        <x:v>121</x:v>
      </x:c>
      <x:c r="D6" s="71" t="n">
        <x:f>B6</x:f>
        <x:v>121</x:v>
      </x:c>
      <x:c r="E6" s="50" t="str">
        <x:f>IF('SOFR Inputs'!B6="","",'SOFR Inputs'!B6+D6/100)</x:f>
      </x:c>
    </x:row>
    <x:row r="7" ht="19" customHeight="1">
      <x:c r="A7" s="35" t="str">
        <x:v>2W</x:v>
      </x:c>
      <x:c r="B7" s="72" t="n">
        <x:f>$B$6</x:f>
        <x:v>121</x:v>
      </x:c>
      <x:c r="C7" s="71" t="n">
        <x:f>(C6*(1/365)+B7*(((2*7/365))-(1/365)))/((2*7/365))</x:f>
        <x:v>120.99999999999997</x:v>
      </x:c>
      <x:c r="D7" s="71" t="n">
        <x:f>(C7*((2*7/365))-C6*(1/365))/(((2*7/365))-(1/365))</x:f>
        <x:v>121</x:v>
      </x:c>
      <x:c r="E7" s="50" t="str">
        <x:f>IF('SOFR Inputs'!B7="","",'SOFR Inputs'!B7+D7/100)</x:f>
      </x:c>
    </x:row>
    <x:row r="8" ht="19" customHeight="1">
      <x:c r="A8" s="35" t="str">
        <x:v>3W</x:v>
      </x:c>
      <x:c r="B8" s="72" t="n">
        <x:f>$B$6</x:f>
        <x:v>121</x:v>
      </x:c>
      <x:c r="C8" s="71" t="n">
        <x:f>(C7*((2*7/365))+B8*(((3*7/365))-((2*7/365))))/((3*7/365))</x:f>
        <x:v>120.99999999999997</x:v>
      </x:c>
      <x:c r="D8" s="71" t="n">
        <x:f>(C8*((3*7/365))-C7*((2*7/365)))/(((3*7/365))-((2*7/365)))</x:f>
        <x:v>120.99999999999997</x:v>
      </x:c>
      <x:c r="E8" s="50" t="str">
        <x:f>IF('SOFR Inputs'!B8="","",'SOFR Inputs'!B8+D8/100)</x:f>
      </x:c>
    </x:row>
    <x:row r="9" ht="19" customHeight="1">
      <x:c r="A9" s="35" t="str">
        <x:v>1M</x:v>
      </x:c>
      <x:c r="B9" s="72" t="n">
        <x:f>$B$6</x:f>
        <x:v>121</x:v>
      </x:c>
      <x:c r="C9" s="71" t="n">
        <x:f>(C8*((3*7/365))+B9*(((1/12))-((3*7/365))))/((1/12))</x:f>
        <x:v>120.99999999999999</x:v>
      </x:c>
      <x:c r="D9" s="71" t="n">
        <x:f>(C9*((1/12))-C8*((3*7/365)))/(((1/12))-((3*7/365)))</x:f>
        <x:v>121.00000000000003</x:v>
      </x:c>
      <x:c r="E9" s="50" t="str">
        <x:f>IF('SOFR Inputs'!B9="","",'SOFR Inputs'!B9+D9/100)</x:f>
      </x:c>
    </x:row>
    <x:row r="10" ht="19" customHeight="1">
      <x:c r="A10" s="35" t="str">
        <x:v>2M</x:v>
      </x:c>
      <x:c r="B10" s="72" t="n">
        <x:f>$B$6</x:f>
        <x:v>121</x:v>
      </x:c>
      <x:c r="C10" s="71" t="n">
        <x:f>(C9*((1/12))+B10*(((2/12))-((1/12))))/((2/12))</x:f>
        <x:v>120.99999999999999</x:v>
      </x:c>
      <x:c r="D10" s="71" t="n">
        <x:f>(C10*((2/12))-C9*((1/12)))/(((2/12))-((1/12)))</x:f>
        <x:v>120.99999999999999</x:v>
      </x:c>
      <x:c r="E10" s="50" t="str">
        <x:f>IF('SOFR Inputs'!B10="","",'SOFR Inputs'!B10+D10/100)</x:f>
      </x:c>
    </x:row>
    <x:row r="11" ht="19" customHeight="1">
      <x:c r="A11" s="35" t="str">
        <x:v>3M</x:v>
      </x:c>
      <x:c r="B11" s="72" t="n">
        <x:f>$B$6</x:f>
        <x:v>121</x:v>
      </x:c>
      <x:c r="C11" s="71" t="n">
        <x:f>(C10*((2/12))+B11*(((3/12))-((2/12))))/((3/12))</x:f>
        <x:v>121</x:v>
      </x:c>
      <x:c r="D11" s="71" t="n">
        <x:f>(C11*((3/12))-C10*((2/12)))/(((3/12))-((2/12)))</x:f>
        <x:v>121.00000000000001</x:v>
      </x:c>
      <x:c r="E11" s="50" t="str">
        <x:f>IF('SOFR Inputs'!B11="","",'SOFR Inputs'!B11+D11/100)</x:f>
      </x:c>
    </x:row>
    <x:row r="12" ht="19" customHeight="1">
      <x:c r="A12" s="35" t="str">
        <x:v>4M</x:v>
      </x:c>
      <x:c r="B12" s="72" t="n">
        <x:f>$B$6</x:f>
        <x:v>121</x:v>
      </x:c>
      <x:c r="C12" s="71" t="n">
        <x:f>(C11*((3/12))+B12*(((4/12))-((3/12))))/((4/12))</x:f>
        <x:v>120.99999999999999</x:v>
      </x:c>
      <x:c r="D12" s="71" t="n">
        <x:f>(C12*((4/12))-C11*((3/12)))/(((4/12))-((3/12)))</x:f>
        <x:v>120.99999999999997</x:v>
      </x:c>
      <x:c r="E12" s="50" t="str">
        <x:f>IF('SOFR Inputs'!B12="","",'SOFR Inputs'!B12+D12/100)</x:f>
      </x:c>
    </x:row>
    <x:row r="13" ht="19" customHeight="1">
      <x:c r="A13" s="35" t="str">
        <x:v>5M</x:v>
      </x:c>
      <x:c r="B13" s="72" t="n">
        <x:f>$B$6</x:f>
        <x:v>121</x:v>
      </x:c>
      <x:c r="C13" s="71" t="n">
        <x:f>(C12*((4/12))+B13*(((5/12))-((4/12))))/((5/12))</x:f>
        <x:v>120.99999999999999</x:v>
      </x:c>
      <x:c r="D13" s="71" t="n">
        <x:f>(C13*((5/12))-C12*((4/12)))/(((5/12))-((4/12)))</x:f>
        <x:v>120.99999999999997</x:v>
      </x:c>
      <x:c r="E13" s="50" t="str">
        <x:f>IF('SOFR Inputs'!B13="","",'SOFR Inputs'!B13+D13/100)</x:f>
      </x:c>
    </x:row>
    <x:row r="14" ht="19" customHeight="1">
      <x:c r="A14" s="82" t="str">
        <x:v>6M</x:v>
      </x:c>
      <x:c r="B14" s="73" t="n">
        <x:v>171</x:v>
      </x:c>
      <x:c r="C14" s="84" t="n">
        <x:f>(C13*((5/12))+B14*(((6/12))-((5/12))))/((6/12))</x:f>
        <x:v>129.33333333333331</x:v>
      </x:c>
      <x:c r="D14" s="84" t="n">
        <x:f>(C14*((6/12))-C13*((5/12)))/(((6/12))-((5/12)))</x:f>
        <x:v>170.99999999999994</x:v>
      </x:c>
      <x:c r="E14" s="85" t="str">
        <x:f>IF('SOFR Inputs'!B14="","",'SOFR Inputs'!B14+D14/100)</x:f>
      </x:c>
    </x:row>
    <x:row r="15" ht="19" customHeight="1">
      <x:c r="A15" s="35" t="str">
        <x:v>7M</x:v>
      </x:c>
      <x:c r="B15" s="74" t="n">
        <x:f>$B$14</x:f>
        <x:v>171</x:v>
      </x:c>
      <x:c r="C15" s="71" t="n">
        <x:f>(C14*((6/12))+B15*(((7/12))-((6/12))))/((7/12))</x:f>
        <x:v>135.28571428571425</x:v>
      </x:c>
      <x:c r="D15" s="71" t="n">
        <x:f>(C15*((7/12))-C14*((6/12)))/(((7/12))-((6/12)))</x:f>
        <x:v>170.99999999999991</x:v>
      </x:c>
      <x:c r="E15" s="50" t="str">
        <x:f>IF('SOFR Inputs'!B15="","",'SOFR Inputs'!B15+D15/100)</x:f>
      </x:c>
    </x:row>
    <x:row r="16" ht="19" customHeight="1">
      <x:c r="A16" s="35" t="str">
        <x:v>8M</x:v>
      </x:c>
      <x:c r="B16" s="72" t="n">
        <x:f>$B$14</x:f>
        <x:v>171</x:v>
      </x:c>
      <x:c r="C16" s="71" t="n">
        <x:f>(C15*((7/12))+B16*(((8/12))-((7/12))))/((8/12))</x:f>
        <x:v>139.74999999999997</x:v>
      </x:c>
      <x:c r="D16" s="71" t="n">
        <x:f>(C16*((8/12))-C15*((7/12)))/(((8/12))-((7/12)))</x:f>
        <x:v>170.99999999999997</x:v>
      </x:c>
      <x:c r="E16" s="50" t="str">
        <x:f>IF('SOFR Inputs'!B16="","",'SOFR Inputs'!B16+D16/100)</x:f>
      </x:c>
    </x:row>
    <x:row r="17" ht="19" customHeight="1">
      <x:c r="A17" s="35" t="str">
        <x:v>9M</x:v>
      </x:c>
      <x:c r="B17" s="72" t="n">
        <x:f>$B$14</x:f>
        <x:v>171</x:v>
      </x:c>
      <x:c r="C17" s="71" t="n">
        <x:f>(C16*((8/12))+B17*(((9/12))-((8/12))))/((9/12))</x:f>
        <x:v>143.2222222222222</x:v>
      </x:c>
      <x:c r="D17" s="71" t="n">
        <x:f>(C17*((9/12))-C16*((8/12)))/(((9/12))-((8/12)))</x:f>
        <x:v>171.00000000000009</x:v>
      </x:c>
      <x:c r="E17" s="50" t="str">
        <x:f>IF('SOFR Inputs'!B17="","",'SOFR Inputs'!B17+D17/100)</x:f>
      </x:c>
    </x:row>
    <x:row r="18" ht="19" customHeight="1">
      <x:c r="A18" s="35" t="str">
        <x:v>10M</x:v>
      </x:c>
      <x:c r="B18" s="72" t="n">
        <x:f>$B$14</x:f>
        <x:v>171</x:v>
      </x:c>
      <x:c r="C18" s="71" t="n">
        <x:f>(C17*((9/12))+B18*(((10/12))-((9/12))))/((10/12))</x:f>
        <x:v>145.99999999999997</x:v>
      </x:c>
      <x:c r="D18" s="71" t="n">
        <x:f>(C18*((10/12))-C17*((9/12)))/(((10/12))-((9/12)))</x:f>
        <x:v>170.99999999999974</x:v>
      </x:c>
      <x:c r="E18" s="50" t="str">
        <x:f>IF('SOFR Inputs'!B18="","",'SOFR Inputs'!B18+D18/100)</x:f>
      </x:c>
    </x:row>
    <x:row r="19" ht="19" customHeight="1">
      <x:c r="A19" s="35" t="str">
        <x:v>11M</x:v>
      </x:c>
      <x:c r="B19" s="72" t="n">
        <x:f>$B$14</x:f>
        <x:v>171</x:v>
      </x:c>
      <x:c r="C19" s="71" t="n">
        <x:f>(C18*((10/12))+B19*(((11/12))-((10/12))))/((11/12))</x:f>
        <x:v>148.27272727272722</x:v>
      </x:c>
      <x:c r="D19" s="71" t="n">
        <x:f>(C19*((11/12))-C18*((10/12)))/(((11/12))-((10/12)))</x:f>
        <x:v>170.99999999999997</x:v>
      </x:c>
      <x:c r="E19" s="50" t="str">
        <x:f>IF('SOFR Inputs'!B19="","",'SOFR Inputs'!B19+D19/100)</x:f>
      </x:c>
    </x:row>
    <x:row r="20" ht="19" customHeight="1">
      <x:c r="A20" s="35" t="str">
        <x:v>1Y</x:v>
      </x:c>
      <x:c r="B20" s="72" t="n">
        <x:f>$B$14</x:f>
        <x:v>171</x:v>
      </x:c>
      <x:c r="C20" s="71" t="n">
        <x:f>(C19*((11/12))+B20*((1)-((11/12))))/(1)</x:f>
        <x:v>150.16666666666663</x:v>
      </x:c>
      <x:c r="D20" s="71" t="n">
        <x:f>(C20*(1)-C19*((11/12)))/((1)-((11/12)))</x:f>
        <x:v>170.99999999999991</x:v>
      </x:c>
      <x:c r="E20" s="50" t="str">
        <x:f>IF('SOFR Inputs'!B20="","",'SOFR Inputs'!B20+D20/100)</x:f>
      </x:c>
    </x:row>
    <x:row r="21" ht="19" customHeight="1">
      <x:c r="A21" s="35" t="str">
        <x:v>2Y</x:v>
      </x:c>
      <x:c r="B21" s="72" t="n">
        <x:f>$B$14</x:f>
        <x:v>171</x:v>
      </x:c>
      <x:c r="C21" s="71" t="n">
        <x:f>(C20*(1)+B21*((2)-(1)))/(2)</x:f>
        <x:v>160.58333333333331</x:v>
      </x:c>
      <x:c r="D21" s="71" t="n">
        <x:f>(C21*(2)-C20*(1))/((2)-(1))</x:f>
        <x:v>171</x:v>
      </x:c>
      <x:c r="E21" s="50" t="str">
        <x:f>IF('SOFR Inputs'!B21="","",'SOFR Inputs'!B21+D21/100)</x:f>
      </x:c>
    </x:row>
    <x:row r="22" ht="19" customHeight="1">
      <x:c r="A22" s="35" t="str">
        <x:v>3Y</x:v>
      </x:c>
      <x:c r="B22" s="72" t="n">
        <x:f>$B$14</x:f>
        <x:v>171</x:v>
      </x:c>
      <x:c r="C22" s="71" t="n">
        <x:f>(C21*(2)+B22*((3)-(2)))/(3)</x:f>
        <x:v>164.05555555555554</x:v>
      </x:c>
      <x:c r="D22" s="71" t="n">
        <x:f>(C22*(3)-C21*(2))/((3)-(2))</x:f>
        <x:v>171</x:v>
      </x:c>
      <x:c r="E22" s="50" t="str">
        <x:f>IF('SOFR Inputs'!B22="","",'SOFR Inputs'!B22+D22/100)</x:f>
      </x:c>
    </x:row>
    <x:row r="23" ht="19" customHeight="1">
      <x:c r="A23" s="35" t="str">
        <x:v>4Y</x:v>
      </x:c>
      <x:c r="B23" s="72" t="n">
        <x:f>$B$14</x:f>
        <x:v>171</x:v>
      </x:c>
      <x:c r="C23" s="71" t="n">
        <x:f>(C22*(3)+B23*((4)-(3)))/(4)</x:f>
        <x:v>165.79166666666666</x:v>
      </x:c>
      <x:c r="D23" s="71" t="n">
        <x:f>(C23*(4)-C22*(3))/((4)-(3))</x:f>
        <x:v>171</x:v>
      </x:c>
      <x:c r="E23" s="50" t="str">
        <x:f>IF('SOFR Inputs'!B23="","",'SOFR Inputs'!B23+D23/100)</x:f>
      </x:c>
    </x:row>
    <x:row r="24" ht="19" customHeight="1">
      <x:c r="A24" s="35" t="str">
        <x:v>5Y</x:v>
      </x:c>
      <x:c r="B24" s="72" t="n">
        <x:f>$B$14</x:f>
        <x:v>171</x:v>
      </x:c>
      <x:c r="C24" s="71" t="n">
        <x:f>(C23*(4)+B24*((5)-(4)))/(5)</x:f>
        <x:v>166.83333333333331</x:v>
      </x:c>
      <x:c r="D24" s="71" t="n">
        <x:f>(C24*(5)-C23*(4))/((5)-(4))</x:f>
        <x:v>170.9999999999999</x:v>
      </x:c>
      <x:c r="E24" s="50" t="str">
        <x:f>IF('SOFR Inputs'!B24="","",'SOFR Inputs'!B24+D24/100)</x:f>
      </x:c>
    </x:row>
    <x:row r="25" ht="19" customHeight="1">
      <x:c r="A25" s="82" t="str">
        <x:v>6Y</x:v>
      </x:c>
      <x:c r="B25" s="73" t="n">
        <x:v>151</x:v>
      </x:c>
      <x:c r="C25" s="84" t="n">
        <x:f>(C24*(5)+B25*((6)-(5)))/(6)</x:f>
        <x:v>164.19444444444443</x:v>
      </x:c>
      <x:c r="D25" s="84" t="n">
        <x:f>(C25*(6)-C24*(5))/((6)-(5))</x:f>
        <x:v>151</x:v>
      </x:c>
      <x:c r="E25" s="85" t="str">
        <x:f>IF('SOFR Inputs'!B25="","",'SOFR Inputs'!B25+D25/100)</x:f>
      </x:c>
    </x:row>
    <x:row r="26" ht="19" customHeight="1">
      <x:c r="A26" s="35" t="str">
        <x:v>7Y</x:v>
      </x:c>
      <x:c r="B26" s="74" t="n">
        <x:f>$B$25</x:f>
        <x:v>151</x:v>
      </x:c>
      <x:c r="C26" s="71" t="n">
        <x:f>(C25*(6)+B26*((7)-(6)))/(7)</x:f>
        <x:v>162.3095238095238</x:v>
      </x:c>
      <x:c r="D26" s="71" t="n">
        <x:f>(C26*(7)-C25*(6))/((7)-(6))</x:f>
        <x:v>151</x:v>
      </x:c>
      <x:c r="E26" s="50" t="str">
        <x:f>IF('SOFR Inputs'!B26="","",'SOFR Inputs'!B26+D26/100)</x:f>
      </x:c>
    </x:row>
    <x:row r="27" ht="19" customHeight="1">
      <x:c r="A27" s="35" t="str">
        <x:v>8Y</x:v>
      </x:c>
      <x:c r="B27" s="72" t="n">
        <x:f>$B$25</x:f>
        <x:v>151</x:v>
      </x:c>
      <x:c r="C27" s="71" t="n">
        <x:f>(C26*(7)+B27*((8)-(7)))/(8)</x:f>
        <x:v>160.89583333333331</x:v>
      </x:c>
      <x:c r="D27" s="71" t="n">
        <x:f>(C27*(8)-C26*(7))/((8)-(7))</x:f>
        <x:v>151</x:v>
      </x:c>
      <x:c r="E27" s="50" t="str">
        <x:f>IF('SOFR Inputs'!B27="","",'SOFR Inputs'!B27+D27/100)</x:f>
      </x:c>
    </x:row>
    <x:row r="28" ht="19" customHeight="1">
      <x:c r="A28" s="35" t="str">
        <x:v>9Y</x:v>
      </x:c>
      <x:c r="B28" s="72" t="n">
        <x:f>$B$25</x:f>
        <x:v>151</x:v>
      </x:c>
      <x:c r="C28" s="71" t="n">
        <x:f>(C27*(8)+B28*((9)-(8)))/(9)</x:f>
        <x:v>159.79629629629628</x:v>
      </x:c>
      <x:c r="D28" s="71" t="n">
        <x:f>(C28*(9)-C27*(8))/((9)-(8))</x:f>
        <x:v>151</x:v>
      </x:c>
      <x:c r="E28" s="50" t="str">
        <x:f>IF('SOFR Inputs'!B28="","",'SOFR Inputs'!B28+D28/100)</x:f>
      </x:c>
    </x:row>
    <x:row r="29" ht="19" customHeight="1">
      <x:c r="A29" s="35" t="str">
        <x:v>10Y</x:v>
      </x:c>
      <x:c r="B29" s="72" t="n">
        <x:f>$B$25</x:f>
        <x:v>151</x:v>
      </x:c>
      <x:c r="C29" s="71" t="n">
        <x:f>(C28*(9)+B29*((10)-(9)))/(10)</x:f>
        <x:v>158.91666666666666</x:v>
      </x:c>
      <x:c r="D29" s="71" t="n">
        <x:f>(C29*(10)-C28*(9))/((10)-(9))</x:f>
        <x:v>151</x:v>
      </x:c>
      <x:c r="E29" s="50" t="str">
        <x:f>IF('SOFR Inputs'!B29="","",'SOFR Inputs'!B29+D29/100)</x:f>
      </x:c>
    </x:row>
    <x:row r="30" ht="19" customHeight="1">
      <x:c r="A30" s="35" t="str">
        <x:v>12Y</x:v>
      </x:c>
      <x:c r="B30" s="72" t="n">
        <x:f>$B$25</x:f>
        <x:v>151</x:v>
      </x:c>
      <x:c r="C30" s="71" t="n">
        <x:f>(C29*(10)+B30*((12)-(10)))/(12)</x:f>
        <x:v>157.5972222222222</x:v>
      </x:c>
      <x:c r="D30" s="71" t="n">
        <x:f>(C30*(12)-C29*(10))/((12)-(10))</x:f>
        <x:v>151</x:v>
      </x:c>
      <x:c r="E30" s="50" t="str">
        <x:f>IF('SOFR Inputs'!B30="","",'SOFR Inputs'!B30+D30/100)</x:f>
      </x:c>
    </x:row>
    <x:row r="31" ht="19" customHeight="1">
      <x:c r="A31" s="35" t="str">
        <x:v>15Y</x:v>
      </x:c>
      <x:c r="B31" s="72" t="n">
        <x:f>$B$25</x:f>
        <x:v>151</x:v>
      </x:c>
      <x:c r="C31" s="71" t="n">
        <x:f>(C30*(12)+B31*((15)-(12)))/(15)</x:f>
        <x:v>156.27777777777777</x:v>
      </x:c>
      <x:c r="D31" s="71" t="n">
        <x:f>(C31*(15)-C30*(12))/((15)-(12))</x:f>
        <x:v>151</x:v>
      </x:c>
      <x:c r="E31" s="50" t="str">
        <x:f>IF('SOFR Inputs'!B31="","",'SOFR Inputs'!B31+D31/100)</x:f>
      </x:c>
    </x:row>
    <x:row r="32" ht="19" customHeight="1">
      <x:c r="A32" s="35" t="str">
        <x:v>20Y</x:v>
      </x:c>
      <x:c r="B32" s="72" t="n">
        <x:f>$B$25</x:f>
        <x:v>151</x:v>
      </x:c>
      <x:c r="C32" s="71" t="n">
        <x:f>(C31*(15)+B32*((20)-(15)))/(20)</x:f>
        <x:v>154.95833333333331</x:v>
      </x:c>
      <x:c r="D32" s="71" t="n">
        <x:f>(C32*(20)-C31*(15))/((20)-(15))</x:f>
        <x:v>150.99999999999991</x:v>
      </x:c>
      <x:c r="E32" s="50" t="str">
        <x:f>IF('SOFR Inputs'!B32="","",'SOFR Inputs'!B32+D32/100)</x:f>
      </x:c>
    </x:row>
    <x:row r="33" ht="19" customHeight="1">
      <x:c r="A33" s="35" t="str">
        <x:v>25Y</x:v>
      </x:c>
      <x:c r="B33" s="72" t="n">
        <x:f>$B$25</x:f>
        <x:v>151</x:v>
      </x:c>
      <x:c r="C33" s="71" t="n">
        <x:f>(C32*(20)+B33*((25)-(20)))/(25)</x:f>
        <x:v>154.16666666666663</x:v>
      </x:c>
      <x:c r="D33" s="71" t="n">
        <x:f>(C33*(25)-C32*(20))/((25)-(20))</x:f>
        <x:v>150.99999999999991</x:v>
      </x:c>
      <x:c r="E33" s="50" t="str">
        <x:f>IF('SOFR Inputs'!B33="","",'SOFR Inputs'!B33+D33/100)</x:f>
      </x:c>
    </x:row>
    <x:row r="34" ht="19" customHeight="1">
      <x:c r="A34" s="35" t="str">
        <x:v>30Y</x:v>
      </x:c>
      <x:c r="B34" s="72" t="n">
        <x:f>$B$25</x:f>
        <x:v>151</x:v>
      </x:c>
      <x:c r="C34" s="71" t="n">
        <x:f>(C33*(25)+B34*((30)-(25)))/(30)</x:f>
        <x:v>153.63888888888886</x:v>
      </x:c>
      <x:c r="D34" s="71" t="n">
        <x:f>(C34*(30)-C33*(25))/((30)-(25))</x:f>
        <x:v>151.00000000000009</x:v>
      </x:c>
      <x:c r="E34" s="50" t="str">
        <x:f>IF('SOFR Inputs'!B34="","",'SOFR Inputs'!B34+D34/100)</x:f>
      </x:c>
    </x:row>
    <x:row r="35" ht="19" customHeight="1">
      <x:c r="A35" s="35" t="str">
        <x:v>40Y</x:v>
      </x:c>
      <x:c r="B35" s="72" t="n">
        <x:f>$B$25</x:f>
        <x:v>151</x:v>
      </x:c>
      <x:c r="C35" s="71" t="n">
        <x:f>(C34*(30)+B35*((40)-(30)))/(40)</x:f>
        <x:v>152.97916666666666</x:v>
      </x:c>
      <x:c r="D35" s="71" t="n">
        <x:f>(C35*(40)-C34*(30))/((40)-(30))</x:f>
        <x:v>151</x:v>
      </x:c>
      <x:c r="E35" s="50" t="str">
        <x:f>IF('SOFR Inputs'!B35="","",'SOFR Inputs'!B35+D35/100)</x:f>
      </x:c>
    </x:row>
    <x:row r="36" ht="19" customHeight="1">
      <x:c r="A36" s="35" t="str">
        <x:v>50Y</x:v>
      </x:c>
      <x:c r="B36" s="72" t="n">
        <x:f>$B$25</x:f>
        <x:v>151</x:v>
      </x:c>
      <x:c r="C36" s="71" t="n">
        <x:f>(C35*(40)+B36*((50)-(40)))/(50)</x:f>
        <x:v>152.58333333333331</x:v>
      </x:c>
      <x:c r="D36" s="71" t="n">
        <x:f>(C36*(50)-C35*(40))/((50)-(40))</x:f>
        <x:v>151</x:v>
      </x:c>
      <x:c r="E36" s="50" t="str">
        <x:f>IF('SOFR Inputs'!B36="","",'SOFR Inputs'!B36+D36/100)</x:f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32" hidden="0" customWidth="1"/>
    <x:col min="4" max="4" width="28" hidden="0" customWidth="1"/>
  </x:cols>
  <x:sheetData>
    <x:row r="1" ht="28" customHeight="1">
      <x:c r="A1" s="92" t="str">
        <x:v>MARKET SOFR INPUTS | OPTIONAL</x:v>
      </x:c>
      <x:c r="B1" s="92"/>
      <x:c r="C1" s="92"/>
      <x:c r="D1" s="77"/>
    </x:row>
    <x:row r="2" ht="24" customHeight="1">
      <x:c r="A2" s="54" t="str">
        <x:v>Enter independently sourced base SOFR interval-forward rates in B, in percent (3.9 means 3.9%).</x:v>
      </x:c>
      <x:c r="B2" s="54"/>
      <x:c r="C2" s="54"/>
    </x:row>
    <x:row r="3" ht="24" customHeight="1">
      <x:c r="A3" s="54" t="str">
        <x:v>Enter base SOFR discount factors in D for optional DF-weighted averages. DO NOT use adjusted funding-curve DFs.</x:v>
      </x:c>
      <x:c r="B3" s="54"/>
      <x:c r="C3" s="54"/>
    </x:row>
    <x:row r="4" ht="24" customHeight="1">
      <x:c r="A4" s="54" t="str">
        <x:v>Both input columns may be left blank. No market numbers have been inferred or fitted from MTM.</x:v>
      </x:c>
      <x:c r="B4" s="54"/>
      <x:c r="C4" s="54"/>
    </x:row>
    <x:row r="5" ht="34" customHeight="1">
      <x:c r="A5" s="86" t="str">
        <x:v>Tenor</x:v>
      </x:c>
      <x:c r="B5" s="86" t="str">
        <x:v>SOFR forward rate (%) [INPUT]</x:v>
      </x:c>
      <x:c r="C5" s="86" t="str">
        <x:v>Funding spread (bps) [linked]</x:v>
      </x:c>
      <x:c r="D5" s="86" t="str">
        <x:v>Base SOFR DF [INPUT]</x:v>
      </x:c>
    </x:row>
    <x:row r="6">
      <x:c r="A6" t="str">
        <x:v>O/N</x:v>
      </x:c>
      <x:c r="B6" s="93"/>
      <x:c r="C6" s="62" t="n">
        <x:f>'30 Sep 2026'!D6</x:f>
        <x:v>121</x:v>
      </x:c>
      <x:c r="D6" s="91"/>
    </x:row>
    <x:row r="7">
      <x:c r="A7" t="str">
        <x:v>2W</x:v>
      </x:c>
      <x:c r="B7" s="93"/>
      <x:c r="C7" s="62" t="n">
        <x:f>'30 Sep 2026'!D7</x:f>
        <x:v>121</x:v>
      </x:c>
      <x:c r="D7" s="91"/>
    </x:row>
    <x:row r="8">
      <x:c r="A8" t="str">
        <x:v>3W</x:v>
      </x:c>
      <x:c r="B8" s="93"/>
      <x:c r="C8" s="62" t="n">
        <x:f>'30 Sep 2026'!D8</x:f>
        <x:v>120.99999999999997</x:v>
      </x:c>
      <x:c r="D8" s="91"/>
    </x:row>
    <x:row r="9">
      <x:c r="A9" t="str">
        <x:v>1M</x:v>
      </x:c>
      <x:c r="B9" s="93"/>
      <x:c r="C9" s="62" t="n">
        <x:f>'30 Sep 2026'!D9</x:f>
        <x:v>121.00000000000003</x:v>
      </x:c>
      <x:c r="D9" s="91"/>
    </x:row>
    <x:row r="10">
      <x:c r="A10" t="str">
        <x:v>2M</x:v>
      </x:c>
      <x:c r="B10" s="93"/>
      <x:c r="C10" s="62" t="n">
        <x:f>'30 Sep 2026'!D10</x:f>
        <x:v>120.99999999999999</x:v>
      </x:c>
      <x:c r="D10" s="91"/>
    </x:row>
    <x:row r="11">
      <x:c r="A11" t="str">
        <x:v>3M</x:v>
      </x:c>
      <x:c r="B11" s="93"/>
      <x:c r="C11" s="62" t="n">
        <x:f>'30 Sep 2026'!D11</x:f>
        <x:v>121.00000000000001</x:v>
      </x:c>
      <x:c r="D11" s="91"/>
    </x:row>
    <x:row r="12">
      <x:c r="A12" t="str">
        <x:v>4M</x:v>
      </x:c>
      <x:c r="B12" s="93"/>
      <x:c r="C12" s="62" t="n">
        <x:f>'30 Sep 2026'!D12</x:f>
        <x:v>120.99999999999997</x:v>
      </x:c>
      <x:c r="D12" s="91"/>
    </x:row>
    <x:row r="13">
      <x:c r="A13" t="str">
        <x:v>5M</x:v>
      </x:c>
      <x:c r="B13" s="93"/>
      <x:c r="C13" s="62" t="n">
        <x:f>'30 Sep 2026'!D13</x:f>
        <x:v>120.99999999999997</x:v>
      </x:c>
      <x:c r="D13" s="91"/>
    </x:row>
    <x:row r="14">
      <x:c r="A14" t="str">
        <x:v>6M</x:v>
      </x:c>
      <x:c r="B14" s="93"/>
      <x:c r="C14" s="62" t="n">
        <x:f>'30 Sep 2026'!D14</x:f>
        <x:v>170.99999999999994</x:v>
      </x:c>
      <x:c r="D14" s="91"/>
    </x:row>
    <x:row r="15">
      <x:c r="A15" t="str">
        <x:v>7M</x:v>
      </x:c>
      <x:c r="B15" s="93"/>
      <x:c r="C15" s="62" t="n">
        <x:f>'30 Sep 2026'!D15</x:f>
        <x:v>170.99999999999991</x:v>
      </x:c>
      <x:c r="D15" s="91"/>
    </x:row>
    <x:row r="16">
      <x:c r="A16" t="str">
        <x:v>8M</x:v>
      </x:c>
      <x:c r="B16" s="93"/>
      <x:c r="C16" s="62" t="n">
        <x:f>'30 Sep 2026'!D16</x:f>
        <x:v>170.99999999999997</x:v>
      </x:c>
      <x:c r="D16" s="91"/>
    </x:row>
    <x:row r="17">
      <x:c r="A17" t="str">
        <x:v>9M</x:v>
      </x:c>
      <x:c r="B17" s="93"/>
      <x:c r="C17" s="62" t="n">
        <x:f>'30 Sep 2026'!D17</x:f>
        <x:v>171.00000000000009</x:v>
      </x:c>
      <x:c r="D17" s="91"/>
    </x:row>
    <x:row r="18">
      <x:c r="A18" t="str">
        <x:v>10M</x:v>
      </x:c>
      <x:c r="B18" s="93"/>
      <x:c r="C18" s="62" t="n">
        <x:f>'30 Sep 2026'!D18</x:f>
        <x:v>170.99999999999974</x:v>
      </x:c>
      <x:c r="D18" s="91"/>
    </x:row>
    <x:row r="19">
      <x:c r="A19" t="str">
        <x:v>11M</x:v>
      </x:c>
      <x:c r="B19" s="93"/>
      <x:c r="C19" s="62" t="n">
        <x:f>'30 Sep 2026'!D19</x:f>
        <x:v>170.99999999999997</x:v>
      </x:c>
      <x:c r="D19" s="91"/>
    </x:row>
    <x:row r="20">
      <x:c r="A20" t="str">
        <x:v>1Y</x:v>
      </x:c>
      <x:c r="B20" s="93"/>
      <x:c r="C20" s="62" t="n">
        <x:f>'30 Sep 2026'!D20</x:f>
        <x:v>170.99999999999991</x:v>
      </x:c>
      <x:c r="D20" s="91"/>
    </x:row>
    <x:row r="21">
      <x:c r="A21" t="str">
        <x:v>2Y</x:v>
      </x:c>
      <x:c r="B21" s="93"/>
      <x:c r="C21" s="62" t="n">
        <x:f>'30 Sep 2026'!D21</x:f>
        <x:v>171</x:v>
      </x:c>
      <x:c r="D21" s="91"/>
    </x:row>
    <x:row r="22">
      <x:c r="A22" t="str">
        <x:v>3Y</x:v>
      </x:c>
      <x:c r="B22" s="93"/>
      <x:c r="C22" s="62" t="n">
        <x:f>'30 Sep 2026'!D22</x:f>
        <x:v>171</x:v>
      </x:c>
      <x:c r="D22" s="91"/>
    </x:row>
    <x:row r="23">
      <x:c r="A23" t="str">
        <x:v>4Y</x:v>
      </x:c>
      <x:c r="B23" s="93"/>
      <x:c r="C23" s="62" t="n">
        <x:f>'30 Sep 2026'!D23</x:f>
        <x:v>171</x:v>
      </x:c>
      <x:c r="D23" s="91"/>
    </x:row>
    <x:row r="24">
      <x:c r="A24" t="str">
        <x:v>5Y</x:v>
      </x:c>
      <x:c r="B24" s="93"/>
      <x:c r="C24" s="62" t="n">
        <x:f>'30 Sep 2026'!D24</x:f>
        <x:v>170.9999999999999</x:v>
      </x:c>
      <x:c r="D24" s="91"/>
    </x:row>
    <x:row r="25">
      <x:c r="A25" t="str">
        <x:v>6Y</x:v>
      </x:c>
      <x:c r="B25" s="93"/>
      <x:c r="C25" s="62" t="n">
        <x:f>'30 Sep 2026'!D25</x:f>
        <x:v>151</x:v>
      </x:c>
      <x:c r="D25" s="91"/>
    </x:row>
    <x:row r="26">
      <x:c r="A26" t="str">
        <x:v>7Y</x:v>
      </x:c>
      <x:c r="B26" s="93"/>
      <x:c r="C26" s="62" t="n">
        <x:f>'30 Sep 2026'!D26</x:f>
        <x:v>151</x:v>
      </x:c>
      <x:c r="D26" s="91"/>
    </x:row>
    <x:row r="27">
      <x:c r="A27" t="str">
        <x:v>8Y</x:v>
      </x:c>
      <x:c r="B27" s="93"/>
      <x:c r="C27" s="62" t="n">
        <x:f>'30 Sep 2026'!D27</x:f>
        <x:v>151</x:v>
      </x:c>
      <x:c r="D27" s="91"/>
    </x:row>
    <x:row r="28">
      <x:c r="A28" t="str">
        <x:v>9Y</x:v>
      </x:c>
      <x:c r="B28" s="93"/>
      <x:c r="C28" s="62" t="n">
        <x:f>'30 Sep 2026'!D28</x:f>
        <x:v>151</x:v>
      </x:c>
      <x:c r="D28" s="91"/>
    </x:row>
    <x:row r="29">
      <x:c r="A29" t="str">
        <x:v>10Y</x:v>
      </x:c>
      <x:c r="B29" s="93"/>
      <x:c r="C29" s="62" t="n">
        <x:f>'30 Sep 2026'!D29</x:f>
        <x:v>151</x:v>
      </x:c>
      <x:c r="D29" s="91"/>
    </x:row>
    <x:row r="30">
      <x:c r="A30" t="str">
        <x:v>12Y</x:v>
      </x:c>
      <x:c r="B30" s="93"/>
      <x:c r="C30" s="62" t="n">
        <x:f>'30 Sep 2026'!D30</x:f>
        <x:v>151</x:v>
      </x:c>
      <x:c r="D30" s="91"/>
    </x:row>
    <x:row r="31">
      <x:c r="A31" t="str">
        <x:v>15Y</x:v>
      </x:c>
      <x:c r="B31" s="93"/>
      <x:c r="C31" s="62" t="n">
        <x:f>'30 Sep 2026'!D31</x:f>
        <x:v>151</x:v>
      </x:c>
      <x:c r="D31" s="91"/>
    </x:row>
    <x:row r="32">
      <x:c r="A32" t="str">
        <x:v>20Y</x:v>
      </x:c>
      <x:c r="B32" s="93"/>
      <x:c r="C32" s="62" t="n">
        <x:f>'30 Sep 2026'!D32</x:f>
        <x:v>150.99999999999991</x:v>
      </x:c>
      <x:c r="D32" s="91"/>
    </x:row>
    <x:row r="33">
      <x:c r="A33" t="str">
        <x:v>25Y</x:v>
      </x:c>
      <x:c r="B33" s="93"/>
      <x:c r="C33" s="62" t="n">
        <x:f>'30 Sep 2026'!D33</x:f>
        <x:v>150.99999999999991</x:v>
      </x:c>
      <x:c r="D33" s="91"/>
    </x:row>
    <x:row r="34">
      <x:c r="A34" t="str">
        <x:v>30Y</x:v>
      </x:c>
      <x:c r="B34" s="93"/>
      <x:c r="C34" s="62" t="n">
        <x:f>'30 Sep 2026'!D34</x:f>
        <x:v>151.00000000000009</x:v>
      </x:c>
      <x:c r="D34" s="91"/>
    </x:row>
    <x:row r="35">
      <x:c r="A35" t="str">
        <x:v>40Y</x:v>
      </x:c>
      <x:c r="B35" s="93"/>
      <x:c r="C35" s="62" t="n">
        <x:f>'30 Sep 2026'!D35</x:f>
        <x:v>151</x:v>
      </x:c>
      <x:c r="D35" s="91"/>
    </x:row>
    <x:row r="36">
      <x:c r="A36" t="str">
        <x:v>50Y</x:v>
      </x:c>
      <x:c r="B36" s="93"/>
      <x:c r="C36" s="62" t="n">
        <x:f>'30 Sep 2026'!D36</x:f>
        <x:v>151</x:v>
      </x:c>
      <x:c r="D36" s="91"/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3" hidden="0" customWidth="1"/>
    <x:col min="3" max="3" width="31" hidden="0" customWidth="1"/>
    <x:col min="4" max="4" width="31" hidden="0" customWidth="1"/>
    <x:col min="5" max="5" width="21" hidden="0" customWidth="1"/>
  </x:cols>
  <x:sheetData>
    <x:row r="1" ht="29" customHeight="1">
      <x:c r="A1" s="94" t="str">
        <x:v>30 SEP 2022 | ORIGINAL SIMPLE BUCKET METHOD</x:v>
      </x:c>
      <x:c r="B1" s="94"/>
      <x:c r="C1" s="94"/>
      <x:c r="D1" s="94"/>
      <x:c r="E1" s="94"/>
    </x:row>
    <x:row r="2">
      <x:c r="A2" t="str">
        <x:v>Years 1–5: 121 bps | 6–10Y: 171 bps | 11Y onward: 151 bps. Three inputs linked to 2026 sheet.</x:v>
      </x:c>
    </x:row>
    <x:row r="3">
      <x:c r="A3" t="str">
        <x:v>Matches your 2022 screenshot from O/N to 10Y; original screen beyond 10Y differs from simple averaging.</x:v>
      </x:c>
    </x:row>
    <x:row r="5" ht="38" customHeight="1">
      <x:c r="A5" s="88" t="str">
        <x:v>Tenor</x:v>
      </x:c>
      <x:c r="B5" s="88" t="str">
        <x:v>Spread before average (bps)</x:v>
      </x:c>
      <x:c r="C5" s="88" t="str">
        <x:v>Cumulative spread (bps)</x:v>
      </x:c>
      <x:c r="D5" s="88" t="str">
        <x:v>Implied fwd spread (bps)</x:v>
      </x:c>
      <x:c r="E5" s="88" t="str">
        <x:v>Tenor end (years)</x:v>
      </x:c>
    </x:row>
    <x:row r="6">
      <x:c r="A6" t="str">
        <x:v>O/N</x:v>
      </x:c>
      <x:c r="B6" s="98" t="n">
        <x:f>'30 Sep 2026'!$B$6</x:f>
        <x:v>121</x:v>
      </x:c>
      <x:c r="C6" s="61" t="n">
        <x:f>B6</x:f>
        <x:v>121</x:v>
      </x:c>
      <x:c r="D6" s="61" t="n">
        <x:f>B6</x:f>
        <x:v>121</x:v>
      </x:c>
      <x:c r="E6" s="95" t="n">
        <x:v>0.0027397260273972603</x:v>
      </x:c>
    </x:row>
    <x:row r="7">
      <x:c r="A7" t="str">
        <x:v>2W</x:v>
      </x:c>
      <x:c r="B7" s="96" t="n">
        <x:f>$B$6</x:f>
        <x:v>121</x:v>
      </x:c>
      <x:c r="C7" s="61" t="n">
        <x:f>(C6*E6+B7*(E7-E6))/E7</x:f>
        <x:v>120.99999999999999</x:v>
      </x:c>
      <x:c r="D7" s="61" t="n">
        <x:f>(C7*E7-C6*E6)/(E7-E6)</x:f>
        <x:v>121</x:v>
      </x:c>
      <x:c r="E7" s="95" t="n">
        <x:v>0.038461538461538464</x:v>
      </x:c>
    </x:row>
    <x:row r="8">
      <x:c r="A8" t="str">
        <x:v>3W</x:v>
      </x:c>
      <x:c r="B8" s="96" t="n">
        <x:f>$B$6</x:f>
        <x:v>121</x:v>
      </x:c>
      <x:c r="C8" s="61" t="n">
        <x:f>(C7*E7+B8*(E8-E7))/E8</x:f>
        <x:v>120.99999999999999</x:v>
      </x:c>
      <x:c r="D8" s="61" t="n">
        <x:f>(C8*E8-C7*E7)/(E8-E7)</x:f>
        <x:v>120.99999999999999</x:v>
      </x:c>
      <x:c r="E8" s="95" t="n">
        <x:v>0.057692307692307696</x:v>
      </x:c>
    </x:row>
    <x:row r="9">
      <x:c r="A9" t="str">
        <x:v>1M</x:v>
      </x:c>
      <x:c r="B9" s="96" t="n">
        <x:f>$B$6</x:f>
        <x:v>121</x:v>
      </x:c>
      <x:c r="C9" s="61" t="n">
        <x:f>(C8*E8+B9*(E9-E8))/E9</x:f>
        <x:v>120.99999999999999</x:v>
      </x:c>
      <x:c r="D9" s="61" t="n">
        <x:f>(C9*E9-C8*E8)/(E9-E8)</x:f>
        <x:v>121.00000000000003</x:v>
      </x:c>
      <x:c r="E9" s="95" t="n">
        <x:v>0.08333333333333333</x:v>
      </x:c>
    </x:row>
    <x:row r="10">
      <x:c r="A10" t="str">
        <x:v>2M</x:v>
      </x:c>
      <x:c r="B10" s="96" t="n">
        <x:f>$B$6</x:f>
        <x:v>121</x:v>
      </x:c>
      <x:c r="C10" s="61" t="n">
        <x:f>(C9*E9+B10*(E10-E9))/E10</x:f>
        <x:v>120.99999999999999</x:v>
      </x:c>
      <x:c r="D10" s="61" t="n">
        <x:f>(C10*E10-C9*E9)/(E10-E9)</x:f>
        <x:v>120.99999999999999</x:v>
      </x:c>
      <x:c r="E10" s="95" t="n">
        <x:v>0.16666666666666666</x:v>
      </x:c>
    </x:row>
    <x:row r="11">
      <x:c r="A11" t="str">
        <x:v>3M</x:v>
      </x:c>
      <x:c r="B11" s="96" t="n">
        <x:f>$B$6</x:f>
        <x:v>121</x:v>
      </x:c>
      <x:c r="C11" s="61" t="n">
        <x:f>(C10*E10+B11*(E11-E10))/E11</x:f>
        <x:v>121</x:v>
      </x:c>
      <x:c r="D11" s="61" t="n">
        <x:f>(C11*E11-C10*E10)/(E11-E10)</x:f>
        <x:v>121.00000000000001</x:v>
      </x:c>
      <x:c r="E11" s="95" t="n">
        <x:v>0.25</x:v>
      </x:c>
    </x:row>
    <x:row r="12">
      <x:c r="A12" t="str">
        <x:v>4M</x:v>
      </x:c>
      <x:c r="B12" s="96" t="n">
        <x:f>$B$6</x:f>
        <x:v>121</x:v>
      </x:c>
      <x:c r="C12" s="61" t="n">
        <x:f>(C11*E11+B12*(E12-E11))/E12</x:f>
        <x:v>120.99999999999999</x:v>
      </x:c>
      <x:c r="D12" s="61" t="n">
        <x:f>(C12*E12-C11*E11)/(E12-E11)</x:f>
        <x:v>120.99999999999997</x:v>
      </x:c>
      <x:c r="E12" s="95" t="n">
        <x:v>0.3333333333333333</x:v>
      </x:c>
    </x:row>
    <x:row r="13">
      <x:c r="A13" t="str">
        <x:v>5M</x:v>
      </x:c>
      <x:c r="B13" s="96" t="n">
        <x:f>$B$6</x:f>
        <x:v>121</x:v>
      </x:c>
      <x:c r="C13" s="61" t="n">
        <x:f>(C12*E12+B13*(E13-E12))/E13</x:f>
        <x:v>120.99999999999999</x:v>
      </x:c>
      <x:c r="D13" s="61" t="n">
        <x:f>(C13*E13-C12*E12)/(E13-E12)</x:f>
        <x:v>120.99999999999997</x:v>
      </x:c>
      <x:c r="E13" s="95" t="n">
        <x:v>0.4166666666666667</x:v>
      </x:c>
    </x:row>
    <x:row r="14">
      <x:c r="A14" t="str">
        <x:v>6M</x:v>
      </x:c>
      <x:c r="B14" s="96" t="n">
        <x:f>$B$6</x:f>
        <x:v>121</x:v>
      </x:c>
      <x:c r="C14" s="61" t="n">
        <x:f>(C13*E13+B14*(E14-E13))/E14</x:f>
        <x:v>120.99999999999999</x:v>
      </x:c>
      <x:c r="D14" s="61" t="n">
        <x:f>(C14*E14-C13*E13)/(E14-E13)</x:f>
        <x:v>120.99999999999997</x:v>
      </x:c>
      <x:c r="E14" s="95" t="n">
        <x:v>0.5</x:v>
      </x:c>
    </x:row>
    <x:row r="15">
      <x:c r="A15" t="str">
        <x:v>7M</x:v>
      </x:c>
      <x:c r="B15" s="96" t="n">
        <x:f>$B$6</x:f>
        <x:v>121</x:v>
      </x:c>
      <x:c r="C15" s="61" t="n">
        <x:f>(C14*E14+B15*(E15-E14))/E15</x:f>
        <x:v>120.99999999999999</x:v>
      </x:c>
      <x:c r="D15" s="61" t="n">
        <x:f>(C15*E15-C14*E14)/(E15-E14)</x:f>
        <x:v>120.99999999999997</x:v>
      </x:c>
      <x:c r="E15" s="95" t="n">
        <x:v>0.5833333333333334</x:v>
      </x:c>
    </x:row>
    <x:row r="16">
      <x:c r="A16" t="str">
        <x:v>8M</x:v>
      </x:c>
      <x:c r="B16" s="96" t="n">
        <x:f>$B$6</x:f>
        <x:v>121</x:v>
      </x:c>
      <x:c r="C16" s="61" t="n">
        <x:f>(C15*E15+B16*(E16-E15))/E16</x:f>
        <x:v>120.99999999999999</x:v>
      </x:c>
      <x:c r="D16" s="61" t="n">
        <x:f>(C16*E16-C15*E15)/(E16-E15)</x:f>
        <x:v>121.00000000000006</x:v>
      </x:c>
      <x:c r="E16" s="95" t="n">
        <x:v>0.6666666666666666</x:v>
      </x:c>
    </x:row>
    <x:row r="17">
      <x:c r="A17" t="str">
        <x:v>9M</x:v>
      </x:c>
      <x:c r="B17" s="96" t="n">
        <x:f>$B$6</x:f>
        <x:v>121</x:v>
      </x:c>
      <x:c r="C17" s="61" t="n">
        <x:f>(C16*E16+B17*(E17-E16))/E17</x:f>
        <x:v>121</x:v>
      </x:c>
      <x:c r="D17" s="61" t="n">
        <x:f>(C17*E17-C16*E16)/(E17-E16)</x:f>
        <x:v>121.00000000000006</x:v>
      </x:c>
      <x:c r="E17" s="95" t="n">
        <x:v>0.75</x:v>
      </x:c>
    </x:row>
    <x:row r="18">
      <x:c r="A18" t="str">
        <x:v>10M</x:v>
      </x:c>
      <x:c r="B18" s="96" t="n">
        <x:f>$B$6</x:f>
        <x:v>121</x:v>
      </x:c>
      <x:c r="C18" s="61" t="n">
        <x:f>(C17*E17+B18*(E18-E17))/E18</x:f>
        <x:v>121</x:v>
      </x:c>
      <x:c r="D18" s="61" t="n">
        <x:f>(C18*E18-C17*E17)/(E18-E17)</x:f>
        <x:v>121.00000000000006</x:v>
      </x:c>
      <x:c r="E18" s="95" t="n">
        <x:v>0.8333333333333334</x:v>
      </x:c>
    </x:row>
    <x:row r="19">
      <x:c r="A19" t="str">
        <x:v>11M</x:v>
      </x:c>
      <x:c r="B19" s="96" t="n">
        <x:f>$B$6</x:f>
        <x:v>121</x:v>
      </x:c>
      <x:c r="C19" s="61" t="n">
        <x:f>(C18*E18+B19*(E19-E18))/E19</x:f>
        <x:v>121.00000000000001</x:v>
      </x:c>
      <x:c r="D19" s="61" t="n">
        <x:f>(C19*E19-C18*E18)/(E19-E18)</x:f>
        <x:v>121.00000000000006</x:v>
      </x:c>
      <x:c r="E19" s="95" t="n">
        <x:v>0.9166666666666666</x:v>
      </x:c>
    </x:row>
    <x:row r="20">
      <x:c r="A20" t="str">
        <x:v>1Y</x:v>
      </x:c>
      <x:c r="B20" s="96" t="n">
        <x:f>$B$6</x:f>
        <x:v>121</x:v>
      </x:c>
      <x:c r="C20" s="61" t="n">
        <x:f>(C19*E19+B20*(E20-E19))/E20</x:f>
        <x:v>121.00000000000001</x:v>
      </x:c>
      <x:c r="D20" s="61" t="n">
        <x:f>(C20*E20-C19*E19)/(E20-E19)</x:f>
        <x:v>121.00000000000006</x:v>
      </x:c>
      <x:c r="E20" s="95" t="n">
        <x:v>1</x:v>
      </x:c>
    </x:row>
    <x:row r="21">
      <x:c r="A21" t="str">
        <x:v>2Y</x:v>
      </x:c>
      <x:c r="B21" s="96" t="n">
        <x:f>$B$6</x:f>
        <x:v>121</x:v>
      </x:c>
      <x:c r="C21" s="61" t="n">
        <x:f>(C20*E20+B21*(E21-E20))/E21</x:f>
        <x:v>121</x:v>
      </x:c>
      <x:c r="D21" s="61" t="n">
        <x:f>(C21*E21-C20*E20)/(E21-E20)</x:f>
        <x:v>120.99999999999999</x:v>
      </x:c>
      <x:c r="E21" s="95" t="n">
        <x:v>2</x:v>
      </x:c>
    </x:row>
    <x:row r="22">
      <x:c r="A22" t="str">
        <x:v>3Y</x:v>
      </x:c>
      <x:c r="B22" s="96" t="n">
        <x:f>$B$6</x:f>
        <x:v>121</x:v>
      </x:c>
      <x:c r="C22" s="61" t="n">
        <x:f>(C21*E21+B22*(E22-E21))/E22</x:f>
        <x:v>121</x:v>
      </x:c>
      <x:c r="D22" s="61" t="n">
        <x:f>(C22*E22-C21*E21)/(E22-E21)</x:f>
        <x:v>121</x:v>
      </x:c>
      <x:c r="E22" s="95" t="n">
        <x:v>3</x:v>
      </x:c>
    </x:row>
    <x:row r="23">
      <x:c r="A23" t="str">
        <x:v>4Y</x:v>
      </x:c>
      <x:c r="B23" s="96" t="n">
        <x:f>$B$6</x:f>
        <x:v>121</x:v>
      </x:c>
      <x:c r="C23" s="61" t="n">
        <x:f>(C22*E22+B23*(E23-E22))/E23</x:f>
        <x:v>121</x:v>
      </x:c>
      <x:c r="D23" s="61" t="n">
        <x:f>(C23*E23-C22*E22)/(E23-E22)</x:f>
        <x:v>121</x:v>
      </x:c>
      <x:c r="E23" s="95" t="n">
        <x:v>4</x:v>
      </x:c>
    </x:row>
    <x:row r="24">
      <x:c r="A24" t="str">
        <x:v>5Y</x:v>
      </x:c>
      <x:c r="B24" s="96" t="n">
        <x:f>$B$6</x:f>
        <x:v>121</x:v>
      </x:c>
      <x:c r="C24" s="61" t="n">
        <x:f>(C23*E23+B24*(E24-E23))/E24</x:f>
        <x:v>121</x:v>
      </x:c>
      <x:c r="D24" s="61" t="n">
        <x:f>(C24*E24-C23*E23)/(E24-E23)</x:f>
        <x:v>121</x:v>
      </x:c>
      <x:c r="E24" s="95" t="n">
        <x:v>5</x:v>
      </x:c>
    </x:row>
    <x:row r="25">
      <x:c r="A25" t="str">
        <x:v>6Y</x:v>
      </x:c>
      <x:c r="B25" s="98" t="n">
        <x:f>'30 Sep 2026'!$B$14</x:f>
        <x:v>171</x:v>
      </x:c>
      <x:c r="C25" s="61" t="n">
        <x:f>(C24*E24+B25*(E25-E24))/E25</x:f>
        <x:v>129.33333333333334</x:v>
      </x:c>
      <x:c r="D25" s="61" t="n">
        <x:f>(C25*E25-C24*E24)/(E25-E24)</x:f>
        <x:v>171</x:v>
      </x:c>
      <x:c r="E25" s="95" t="n">
        <x:v>6</x:v>
      </x:c>
    </x:row>
    <x:row r="26">
      <x:c r="A26" t="str">
        <x:v>7Y</x:v>
      </x:c>
      <x:c r="B26" s="96" t="n">
        <x:f>$B$25</x:f>
        <x:v>171</x:v>
      </x:c>
      <x:c r="C26" s="61" t="n">
        <x:f>(C25*E25+B26*(E26-E25))/E26</x:f>
        <x:v>135.28571428571428</x:v>
      </x:c>
      <x:c r="D26" s="61" t="n">
        <x:f>(C26*E26-C25*E25)/(E26-E25)</x:f>
        <x:v>171</x:v>
      </x:c>
      <x:c r="E26" s="95" t="n">
        <x:v>7</x:v>
      </x:c>
    </x:row>
    <x:row r="27">
      <x:c r="A27" t="str">
        <x:v>8Y</x:v>
      </x:c>
      <x:c r="B27" s="96" t="n">
        <x:f>$B$25</x:f>
        <x:v>171</x:v>
      </x:c>
      <x:c r="C27" s="61" t="n">
        <x:f>(C26*E26+B27*(E27-E26))/E27</x:f>
        <x:v>139.75</x:v>
      </x:c>
      <x:c r="D27" s="61" t="n">
        <x:f>(C27*E27-C26*E26)/(E27-E26)</x:f>
        <x:v>171</x:v>
      </x:c>
      <x:c r="E27" s="95" t="n">
        <x:v>8</x:v>
      </x:c>
    </x:row>
    <x:row r="28">
      <x:c r="A28" t="str">
        <x:v>9Y</x:v>
      </x:c>
      <x:c r="B28" s="96" t="n">
        <x:f>$B$25</x:f>
        <x:v>171</x:v>
      </x:c>
      <x:c r="C28" s="61" t="n">
        <x:f>(C27*E27+B28*(E28-E27))/E28</x:f>
        <x:v>143.22222222222223</x:v>
      </x:c>
      <x:c r="D28" s="61" t="n">
        <x:f>(C28*E28-C27*E27)/(E28-E27)</x:f>
        <x:v>171</x:v>
      </x:c>
      <x:c r="E28" s="95" t="n">
        <x:v>9</x:v>
      </x:c>
    </x:row>
    <x:row r="29">
      <x:c r="A29" t="str">
        <x:v>10Y</x:v>
      </x:c>
      <x:c r="B29" s="96" t="n">
        <x:f>$B$25</x:f>
        <x:v>171</x:v>
      </x:c>
      <x:c r="C29" s="61" t="n">
        <x:f>(C28*E28+B29*(E29-E28))/E29</x:f>
        <x:v>146</x:v>
      </x:c>
      <x:c r="D29" s="61" t="n">
        <x:f>(C29*E29-C28*E28)/(E29-E28)</x:f>
        <x:v>171</x:v>
      </x:c>
      <x:c r="E29" s="95" t="n">
        <x:v>10</x:v>
      </x:c>
    </x:row>
    <x:row r="30">
      <x:c r="A30" t="str">
        <x:v>12Y</x:v>
      </x:c>
      <x:c r="B30" s="98" t="n">
        <x:f>'30 Sep 2026'!$B$25</x:f>
        <x:v>151</x:v>
      </x:c>
      <x:c r="C30" s="61" t="n">
        <x:f>(C29*E29+B30*(E30-E29))/E30</x:f>
        <x:v>146.83333333333334</x:v>
      </x:c>
      <x:c r="D30" s="61" t="n">
        <x:f>(C30*E30-C29*E29)/(E30-E29)</x:f>
        <x:v>151</x:v>
      </x:c>
      <x:c r="E30" s="95" t="n">
        <x:v>12</x:v>
      </x:c>
    </x:row>
    <x:row r="31">
      <x:c r="A31" t="str">
        <x:v>15Y</x:v>
      </x:c>
      <x:c r="B31" s="96" t="n">
        <x:f>$B$30</x:f>
        <x:v>151</x:v>
      </x:c>
      <x:c r="C31" s="61" t="n">
        <x:f>(C30*E30+B31*(E31-E30))/E31</x:f>
        <x:v>147.66666666666666</x:v>
      </x:c>
      <x:c r="D31" s="61" t="n">
        <x:f>(C31*E31-C30*E30)/(E31-E30)</x:f>
        <x:v>151</x:v>
      </x:c>
      <x:c r="E31" s="95" t="n">
        <x:v>15</x:v>
      </x:c>
    </x:row>
    <x:row r="32">
      <x:c r="A32" t="str">
        <x:v>20Y</x:v>
      </x:c>
      <x:c r="B32" s="96" t="n">
        <x:f>$B$30</x:f>
        <x:v>151</x:v>
      </x:c>
      <x:c r="C32" s="61" t="n">
        <x:f>(C31*E31+B32*(E32-E31))/E32</x:f>
        <x:v>148.5</x:v>
      </x:c>
      <x:c r="D32" s="61" t="n">
        <x:f>(C32*E32-C31*E31)/(E32-E31)</x:f>
        <x:v>151</x:v>
      </x:c>
      <x:c r="E32" s="95" t="n">
        <x:v>20</x:v>
      </x:c>
    </x:row>
    <x:row r="33">
      <x:c r="A33" t="str">
        <x:v>25Y</x:v>
      </x:c>
      <x:c r="B33" s="96" t="n">
        <x:f>$B$30</x:f>
        <x:v>151</x:v>
      </x:c>
      <x:c r="C33" s="61" t="n">
        <x:f>(C32*E32+B33*(E33-E32))/E33</x:f>
        <x:v>149</x:v>
      </x:c>
      <x:c r="D33" s="61" t="n">
        <x:f>(C33*E33-C32*E32)/(E33-E32)</x:f>
        <x:v>151</x:v>
      </x:c>
      <x:c r="E33" s="95" t="n">
        <x:v>25</x:v>
      </x:c>
    </x:row>
    <x:row r="34">
      <x:c r="A34" t="str">
        <x:v>30Y</x:v>
      </x:c>
      <x:c r="B34" s="96" t="n">
        <x:f>$B$30</x:f>
        <x:v>151</x:v>
      </x:c>
      <x:c r="C34" s="61" t="n">
        <x:f>(C33*E33+B34*(E34-E33))/E34</x:f>
        <x:v>149.33333333333334</x:v>
      </x:c>
      <x:c r="D34" s="61" t="n">
        <x:f>(C34*E34-C33*E33)/(E34-E33)</x:f>
        <x:v>151</x:v>
      </x:c>
      <x:c r="E34" s="95" t="n">
        <x:v>30</x:v>
      </x:c>
    </x:row>
    <x:row r="35">
      <x:c r="A35" t="str">
        <x:v>40Y</x:v>
      </x:c>
      <x:c r="B35" s="96" t="n">
        <x:f>$B$30</x:f>
        <x:v>151</x:v>
      </x:c>
      <x:c r="C35" s="61" t="n">
        <x:f>(C34*E34+B35*(E35-E34))/E35</x:f>
        <x:v>149.75</x:v>
      </x:c>
      <x:c r="D35" s="61" t="n">
        <x:f>(C35*E35-C34*E34)/(E35-E34)</x:f>
        <x:v>151</x:v>
      </x:c>
      <x:c r="E35" s="95" t="n">
        <x:v>40</x:v>
      </x:c>
    </x:row>
    <x:row r="36">
      <x:c r="A36" t="str">
        <x:v>50Y</x:v>
      </x:c>
      <x:c r="B36" s="96" t="n">
        <x:f>$B$30</x:f>
        <x:v>151</x:v>
      </x:c>
      <x:c r="C36" s="61" t="n">
        <x:f>(C35*E35+B36*(E36-E35))/E36</x:f>
        <x:v>150</x:v>
      </x:c>
      <x:c r="D36" s="61" t="n">
        <x:f>(C36*E36-C35*E35)/(E36-E35)</x:f>
        <x:v>151</x:v>
      </x:c>
      <x:c r="E36" s="95" t="n">
        <x:v>50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3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31" hidden="0" customWidth="1"/>
  </x:cols>
  <x:sheetData>
    <x:row r="1" ht="29" customHeight="1">
      <x:c r="A1" s="99" t="str">
        <x:v>OPTIONAL | BASE-SOFR DISCOUNT-FACTOR-WEIGHTED AVERAGE</x:v>
      </x:c>
      <x:c r="B1" s="99"/>
      <x:c r="C1" s="99"/>
      <x:c r="D1" s="99"/>
      <x:c r="E1" s="99"/>
      <x:c r="F1" s="99"/>
      <x:c r="G1" s="99"/>
      <x:c r="H1" s="99"/>
      <x:c r="I1" s="99"/>
    </x:row>
    <x:row r="2">
      <x:c r="A2" t="str">
        <x:v>Paste market base-SOFR discount factors into SOFR Inputs column D first; otherwise these outputs remain blank.</x:v>
      </x:c>
    </x:row>
    <x:row r="3">
      <x:c r="A3" t="str">
        <x:v>Cumulative approx = SUM(marginal spread × interval length × base-SOFR DF) / SUM(interval length × base-SOFR DF).</x:v>
      </x:c>
    </x:row>
    <x:row r="4">
      <x:c r="A4" t="str">
        <x:v>Indicative discounted-annuity weighting ONLY. Not a replacement for accurate SOFR swap-quote bootstrap or a guaranteed zero-MTM fit.</x:v>
      </x:c>
    </x:row>
    <x:row r="5" ht="40" customHeight="1">
      <x:c r="A5" s="88" t="str">
        <x:v>Tenor</x:v>
      </x:c>
      <x:c r="B5" s="88" t="str">
        <x:v>Marginal spread (bps)</x:v>
      </x:c>
      <x:c r="C5" s="88" t="str">
        <x:v>End tenor (years)</x:v>
      </x:c>
      <x:c r="D5" s="88" t="str">
        <x:v>Interval length (years)</x:v>
      </x:c>
      <x:c r="E5" s="88" t="str">
        <x:v>Base SOFR DF</x:v>
      </x:c>
      <x:c r="F5" s="88" t="str">
        <x:v>Interval weight</x:v>
      </x:c>
      <x:c r="G5" s="88" t="str">
        <x:v>Spread × weight</x:v>
      </x:c>
      <x:c r="H5" s="88" t="str">
        <x:v>Cumulative weights</x:v>
      </x:c>
      <x:c r="I5" s="88" t="str">
        <x:v>DF-weighted spread (bps)</x:v>
      </x:c>
    </x:row>
    <x:row r="6">
      <x:c r="A6" t="str">
        <x:v>O/N</x:v>
      </x:c>
      <x:c r="B6" s="62" t="n">
        <x:f>'30 Sep 2026'!B6</x:f>
        <x:v>121</x:v>
      </x:c>
      <x:c r="C6" s="95" t="n">
        <x:v>0.0027397260273972603</x:v>
      </x:c>
      <x:c r="D6" s="95" t="n">
        <x:f>C6</x:f>
        <x:v>0.0027397260273972603</x:v>
      </x:c>
      <x:c r="E6" s="101" t="str">
        <x:f>IF('SOFR Inputs'!D6="","",'SOFR Inputs'!D6)</x:f>
      </x:c>
      <x:c r="F6" t="str">
        <x:f>IF(E6="","",D6*E6)</x:f>
      </x:c>
      <x:c r="G6" t="str">
        <x:f>IF(F6="","",B6*F6)</x:f>
      </x:c>
      <x:c r="H6" t="str">
        <x:f>IF(COUNT($E$6:E6)&lt;ROWS($E$6:E6),"",SUM($F$6:F6))</x:f>
      </x:c>
      <x:c r="I6" s="61" t="str">
        <x:f>IF(H6="","",SUM($G$6:G6)/H6)</x:f>
      </x:c>
    </x:row>
    <x:row r="7">
      <x:c r="A7" t="str">
        <x:v>2W</x:v>
      </x:c>
      <x:c r="B7" s="62" t="n">
        <x:f>'30 Sep 2026'!B7</x:f>
        <x:v>121</x:v>
      </x:c>
      <x:c r="C7" s="95" t="n">
        <x:v>0.038461538461538464</x:v>
      </x:c>
      <x:c r="D7" s="95" t="n">
        <x:f>C7-C6</x:f>
        <x:v>0.0357218124341412</x:v>
      </x:c>
      <x:c r="E7" s="101" t="str">
        <x:f>IF('SOFR Inputs'!D7="","",'SOFR Inputs'!D7)</x:f>
      </x:c>
      <x:c r="F7" t="str">
        <x:f>IF(E7="","",D7*E7)</x:f>
      </x:c>
      <x:c r="G7" t="str">
        <x:f>IF(F7="","",B7*F7)</x:f>
      </x:c>
      <x:c r="H7" t="str">
        <x:f>IF(COUNT($E$6:E7)&lt;ROWS($E$6:E7),"",SUM($F$6:F7))</x:f>
      </x:c>
      <x:c r="I7" s="61" t="str">
        <x:f>IF(H7="","",SUM($G$6:G7)/H7)</x:f>
      </x:c>
    </x:row>
    <x:row r="8">
      <x:c r="A8" t="str">
        <x:v>3W</x:v>
      </x:c>
      <x:c r="B8" s="62" t="n">
        <x:f>'30 Sep 2026'!B8</x:f>
        <x:v>121</x:v>
      </x:c>
      <x:c r="C8" s="95" t="n">
        <x:v>0.057692307692307696</x:v>
      </x:c>
      <x:c r="D8" s="95" t="n">
        <x:f>C8-C7</x:f>
        <x:v>0.019230769230769232</x:v>
      </x:c>
      <x:c r="E8" s="101" t="str">
        <x:f>IF('SOFR Inputs'!D8="","",'SOFR Inputs'!D8)</x:f>
      </x:c>
      <x:c r="F8" t="str">
        <x:f>IF(E8="","",D8*E8)</x:f>
      </x:c>
      <x:c r="G8" t="str">
        <x:f>IF(F8="","",B8*F8)</x:f>
      </x:c>
      <x:c r="H8" t="str">
        <x:f>IF(COUNT($E$6:E8)&lt;ROWS($E$6:E8),"",SUM($F$6:F8))</x:f>
      </x:c>
      <x:c r="I8" s="61" t="str">
        <x:f>IF(H8="","",SUM($G$6:G8)/H8)</x:f>
      </x:c>
    </x:row>
    <x:row r="9">
      <x:c r="A9" t="str">
        <x:v>1M</x:v>
      </x:c>
      <x:c r="B9" s="62" t="n">
        <x:f>'30 Sep 2026'!B9</x:f>
        <x:v>121</x:v>
      </x:c>
      <x:c r="C9" s="95" t="n">
        <x:v>0.08333333333333333</x:v>
      </x:c>
      <x:c r="D9" s="95" t="n">
        <x:f>C9-C8</x:f>
        <x:v>0.025641025641025633</x:v>
      </x:c>
      <x:c r="E9" s="101" t="str">
        <x:f>IF('SOFR Inputs'!D9="","",'SOFR Inputs'!D9)</x:f>
      </x:c>
      <x:c r="F9" t="str">
        <x:f>IF(E9="","",D9*E9)</x:f>
      </x:c>
      <x:c r="G9" t="str">
        <x:f>IF(F9="","",B9*F9)</x:f>
      </x:c>
      <x:c r="H9" t="str">
        <x:f>IF(COUNT($E$6:E9)&lt;ROWS($E$6:E9),"",SUM($F$6:F9))</x:f>
      </x:c>
      <x:c r="I9" s="61" t="str">
        <x:f>IF(H9="","",SUM($G$6:G9)/H9)</x:f>
      </x:c>
    </x:row>
    <x:row r="10">
      <x:c r="A10" t="str">
        <x:v>2M</x:v>
      </x:c>
      <x:c r="B10" s="62" t="n">
        <x:f>'30 Sep 2026'!B10</x:f>
        <x:v>121</x:v>
      </x:c>
      <x:c r="C10" s="95" t="n">
        <x:v>0.16666666666666666</x:v>
      </x:c>
      <x:c r="D10" s="95" t="n">
        <x:f>C10-C9</x:f>
        <x:v>0.08333333333333333</x:v>
      </x:c>
      <x:c r="E10" s="101" t="str">
        <x:f>IF('SOFR Inputs'!D10="","",'SOFR Inputs'!D10)</x:f>
      </x:c>
      <x:c r="F10" t="str">
        <x:f>IF(E10="","",D10*E10)</x:f>
      </x:c>
      <x:c r="G10" t="str">
        <x:f>IF(F10="","",B10*F10)</x:f>
      </x:c>
      <x:c r="H10" t="str">
        <x:f>IF(COUNT($E$6:E10)&lt;ROWS($E$6:E10),"",SUM($F$6:F10))</x:f>
      </x:c>
      <x:c r="I10" s="61" t="str">
        <x:f>IF(H10="","",SUM($G$6:G10)/H10)</x:f>
      </x:c>
    </x:row>
    <x:row r="11">
      <x:c r="A11" t="str">
        <x:v>3M</x:v>
      </x:c>
      <x:c r="B11" s="62" t="n">
        <x:f>'30 Sep 2026'!B11</x:f>
        <x:v>121</x:v>
      </x:c>
      <x:c r="C11" s="95" t="n">
        <x:v>0.25</x:v>
      </x:c>
      <x:c r="D11" s="95" t="n">
        <x:f>C11-C10</x:f>
        <x:v>0.08333333333333334</x:v>
      </x:c>
      <x:c r="E11" s="101" t="str">
        <x:f>IF('SOFR Inputs'!D11="","",'SOFR Inputs'!D11)</x:f>
      </x:c>
      <x:c r="F11" t="str">
        <x:f>IF(E11="","",D11*E11)</x:f>
      </x:c>
      <x:c r="G11" t="str">
        <x:f>IF(F11="","",B11*F11)</x:f>
      </x:c>
      <x:c r="H11" t="str">
        <x:f>IF(COUNT($E$6:E11)&lt;ROWS($E$6:E11),"",SUM($F$6:F11))</x:f>
      </x:c>
      <x:c r="I11" s="61" t="str">
        <x:f>IF(H11="","",SUM($G$6:G11)/H11)</x:f>
      </x:c>
    </x:row>
    <x:row r="12">
      <x:c r="A12" t="str">
        <x:v>4M</x:v>
      </x:c>
      <x:c r="B12" s="62" t="n">
        <x:f>'30 Sep 2026'!B12</x:f>
        <x:v>121</x:v>
      </x:c>
      <x:c r="C12" s="95" t="n">
        <x:v>0.3333333333333333</x:v>
      </x:c>
      <x:c r="D12" s="95" t="n">
        <x:f>C12-C11</x:f>
        <x:v>0.08333333333333331</x:v>
      </x:c>
      <x:c r="E12" s="101" t="str">
        <x:f>IF('SOFR Inputs'!D12="","",'SOFR Inputs'!D12)</x:f>
      </x:c>
      <x:c r="F12" t="str">
        <x:f>IF(E12="","",D12*E12)</x:f>
      </x:c>
      <x:c r="G12" t="str">
        <x:f>IF(F12="","",B12*F12)</x:f>
      </x:c>
      <x:c r="H12" t="str">
        <x:f>IF(COUNT($E$6:E12)&lt;ROWS($E$6:E12),"",SUM($F$6:F12))</x:f>
      </x:c>
      <x:c r="I12" s="61" t="str">
        <x:f>IF(H12="","",SUM($G$6:G12)/H12)</x:f>
      </x:c>
    </x:row>
    <x:row r="13">
      <x:c r="A13" t="str">
        <x:v>5M</x:v>
      </x:c>
      <x:c r="B13" s="62" t="n">
        <x:f>'30 Sep 2026'!B13</x:f>
        <x:v>121</x:v>
      </x:c>
      <x:c r="C13" s="95" t="n">
        <x:v>0.4166666666666667</x:v>
      </x:c>
      <x:c r="D13" s="95" t="n">
        <x:f>C13-C12</x:f>
        <x:v>0.08333333333333337</x:v>
      </x:c>
      <x:c r="E13" s="101" t="str">
        <x:f>IF('SOFR Inputs'!D13="","",'SOFR Inputs'!D13)</x:f>
      </x:c>
      <x:c r="F13" t="str">
        <x:f>IF(E13="","",D13*E13)</x:f>
      </x:c>
      <x:c r="G13" t="str">
        <x:f>IF(F13="","",B13*F13)</x:f>
      </x:c>
      <x:c r="H13" t="str">
        <x:f>IF(COUNT($E$6:E13)&lt;ROWS($E$6:E13),"",SUM($F$6:F13))</x:f>
      </x:c>
      <x:c r="I13" s="61" t="str">
        <x:f>IF(H13="","",SUM($G$6:G13)/H13)</x:f>
      </x:c>
    </x:row>
    <x:row r="14">
      <x:c r="A14" t="str">
        <x:v>6M</x:v>
      </x:c>
      <x:c r="B14" s="62" t="n">
        <x:f>'30 Sep 2026'!B14</x:f>
        <x:v>171</x:v>
      </x:c>
      <x:c r="C14" s="95" t="n">
        <x:v>0.5</x:v>
      </x:c>
      <x:c r="D14" s="95" t="n">
        <x:f>C14-C13</x:f>
        <x:v>0.08333333333333331</x:v>
      </x:c>
      <x:c r="E14" s="101" t="str">
        <x:f>IF('SOFR Inputs'!D14="","",'SOFR Inputs'!D14)</x:f>
      </x:c>
      <x:c r="F14" t="str">
        <x:f>IF(E14="","",D14*E14)</x:f>
      </x:c>
      <x:c r="G14" t="str">
        <x:f>IF(F14="","",B14*F14)</x:f>
      </x:c>
      <x:c r="H14" t="str">
        <x:f>IF(COUNT($E$6:E14)&lt;ROWS($E$6:E14),"",SUM($F$6:F14))</x:f>
      </x:c>
      <x:c r="I14" s="61" t="str">
        <x:f>IF(H14="","",SUM($G$6:G14)/H14)</x:f>
      </x:c>
    </x:row>
    <x:row r="15">
      <x:c r="A15" t="str">
        <x:v>7M</x:v>
      </x:c>
      <x:c r="B15" s="62" t="n">
        <x:f>'30 Sep 2026'!B15</x:f>
        <x:v>171</x:v>
      </x:c>
      <x:c r="C15" s="95" t="n">
        <x:v>0.5833333333333334</x:v>
      </x:c>
      <x:c r="D15" s="95" t="n">
        <x:f>C15-C14</x:f>
        <x:v>0.08333333333333337</x:v>
      </x:c>
      <x:c r="E15" s="101" t="str">
        <x:f>IF('SOFR Inputs'!D15="","",'SOFR Inputs'!D15)</x:f>
      </x:c>
      <x:c r="F15" t="str">
        <x:f>IF(E15="","",D15*E15)</x:f>
      </x:c>
      <x:c r="G15" t="str">
        <x:f>IF(F15="","",B15*F15)</x:f>
      </x:c>
      <x:c r="H15" t="str">
        <x:f>IF(COUNT($E$6:E15)&lt;ROWS($E$6:E15),"",SUM($F$6:F15))</x:f>
      </x:c>
      <x:c r="I15" s="61" t="str">
        <x:f>IF(H15="","",SUM($G$6:G15)/H15)</x:f>
      </x:c>
    </x:row>
    <x:row r="16">
      <x:c r="A16" t="str">
        <x:v>8M</x:v>
      </x:c>
      <x:c r="B16" s="62" t="n">
        <x:f>'30 Sep 2026'!B16</x:f>
        <x:v>171</x:v>
      </x:c>
      <x:c r="C16" s="95" t="n">
        <x:v>0.6666666666666666</x:v>
      </x:c>
      <x:c r="D16" s="95" t="n">
        <x:f>C16-C15</x:f>
        <x:v>0.08333333333333326</x:v>
      </x:c>
      <x:c r="E16" s="101" t="str">
        <x:f>IF('SOFR Inputs'!D16="","",'SOFR Inputs'!D16)</x:f>
      </x:c>
      <x:c r="F16" t="str">
        <x:f>IF(E16="","",D16*E16)</x:f>
      </x:c>
      <x:c r="G16" t="str">
        <x:f>IF(F16="","",B16*F16)</x:f>
      </x:c>
      <x:c r="H16" t="str">
        <x:f>IF(COUNT($E$6:E16)&lt;ROWS($E$6:E16),"",SUM($F$6:F16))</x:f>
      </x:c>
      <x:c r="I16" s="61" t="str">
        <x:f>IF(H16="","",SUM($G$6:G16)/H16)</x:f>
      </x:c>
    </x:row>
    <x:row r="17">
      <x:c r="A17" t="str">
        <x:v>9M</x:v>
      </x:c>
      <x:c r="B17" s="62" t="n">
        <x:f>'30 Sep 2026'!B17</x:f>
        <x:v>171</x:v>
      </x:c>
      <x:c r="C17" s="95" t="n">
        <x:v>0.75</x:v>
      </x:c>
      <x:c r="D17" s="95" t="n">
        <x:f>C17-C16</x:f>
        <x:v>0.08333333333333337</x:v>
      </x:c>
      <x:c r="E17" s="101" t="str">
        <x:f>IF('SOFR Inputs'!D17="","",'SOFR Inputs'!D17)</x:f>
      </x:c>
      <x:c r="F17" t="str">
        <x:f>IF(E17="","",D17*E17)</x:f>
      </x:c>
      <x:c r="G17" t="str">
        <x:f>IF(F17="","",B17*F17)</x:f>
      </x:c>
      <x:c r="H17" t="str">
        <x:f>IF(COUNT($E$6:E17)&lt;ROWS($E$6:E17),"",SUM($F$6:F17))</x:f>
      </x:c>
      <x:c r="I17" s="61" t="str">
        <x:f>IF(H17="","",SUM($G$6:G17)/H17)</x:f>
      </x:c>
    </x:row>
    <x:row r="18">
      <x:c r="A18" t="str">
        <x:v>10M</x:v>
      </x:c>
      <x:c r="B18" s="62" t="n">
        <x:f>'30 Sep 2026'!B18</x:f>
        <x:v>171</x:v>
      </x:c>
      <x:c r="C18" s="95" t="n">
        <x:v>0.8333333333333334</x:v>
      </x:c>
      <x:c r="D18" s="95" t="n">
        <x:f>C18-C17</x:f>
        <x:v>0.08333333333333337</x:v>
      </x:c>
      <x:c r="E18" s="101" t="str">
        <x:f>IF('SOFR Inputs'!D18="","",'SOFR Inputs'!D18)</x:f>
      </x:c>
      <x:c r="F18" t="str">
        <x:f>IF(E18="","",D18*E18)</x:f>
      </x:c>
      <x:c r="G18" t="str">
        <x:f>IF(F18="","",B18*F18)</x:f>
      </x:c>
      <x:c r="H18" t="str">
        <x:f>IF(COUNT($E$6:E18)&lt;ROWS($E$6:E18),"",SUM($F$6:F18))</x:f>
      </x:c>
      <x:c r="I18" s="61" t="str">
        <x:f>IF(H18="","",SUM($G$6:G18)/H18)</x:f>
      </x:c>
    </x:row>
    <x:row r="19">
      <x:c r="A19" t="str">
        <x:v>11M</x:v>
      </x:c>
      <x:c r="B19" s="62" t="n">
        <x:f>'30 Sep 2026'!B19</x:f>
        <x:v>171</x:v>
      </x:c>
      <x:c r="C19" s="95" t="n">
        <x:v>0.9166666666666666</x:v>
      </x:c>
      <x:c r="D19" s="95" t="n">
        <x:f>C19-C18</x:f>
        <x:v>0.08333333333333326</x:v>
      </x:c>
      <x:c r="E19" s="101" t="str">
        <x:f>IF('SOFR Inputs'!D19="","",'SOFR Inputs'!D19)</x:f>
      </x:c>
      <x:c r="F19" t="str">
        <x:f>IF(E19="","",D19*E19)</x:f>
      </x:c>
      <x:c r="G19" t="str">
        <x:f>IF(F19="","",B19*F19)</x:f>
      </x:c>
      <x:c r="H19" t="str">
        <x:f>IF(COUNT($E$6:E19)&lt;ROWS($E$6:E19),"",SUM($F$6:F19))</x:f>
      </x:c>
      <x:c r="I19" s="61" t="str">
        <x:f>IF(H19="","",SUM($G$6:G19)/H19)</x:f>
      </x:c>
    </x:row>
    <x:row r="20">
      <x:c r="A20" t="str">
        <x:v>1Y</x:v>
      </x:c>
      <x:c r="B20" s="62" t="n">
        <x:f>'30 Sep 2026'!B20</x:f>
        <x:v>171</x:v>
      </x:c>
      <x:c r="C20" s="95" t="n">
        <x:v>1</x:v>
      </x:c>
      <x:c r="D20" s="95" t="n">
        <x:f>C20-C19</x:f>
        <x:v>0.08333333333333337</x:v>
      </x:c>
      <x:c r="E20" s="101" t="str">
        <x:f>IF('SOFR Inputs'!D20="","",'SOFR Inputs'!D20)</x:f>
      </x:c>
      <x:c r="F20" t="str">
        <x:f>IF(E20="","",D20*E20)</x:f>
      </x:c>
      <x:c r="G20" t="str">
        <x:f>IF(F20="","",B20*F20)</x:f>
      </x:c>
      <x:c r="H20" t="str">
        <x:f>IF(COUNT($E$6:E20)&lt;ROWS($E$6:E20),"",SUM($F$6:F20))</x:f>
      </x:c>
      <x:c r="I20" s="61" t="str">
        <x:f>IF(H20="","",SUM($G$6:G20)/H20)</x:f>
      </x:c>
    </x:row>
    <x:row r="21">
      <x:c r="A21" t="str">
        <x:v>2Y</x:v>
      </x:c>
      <x:c r="B21" s="62" t="n">
        <x:f>'30 Sep 2026'!B21</x:f>
        <x:v>171</x:v>
      </x:c>
      <x:c r="C21" s="95" t="n">
        <x:v>2</x:v>
      </x:c>
      <x:c r="D21" s="95" t="n">
        <x:f>C21-C20</x:f>
        <x:v>1</x:v>
      </x:c>
      <x:c r="E21" s="101" t="str">
        <x:f>IF('SOFR Inputs'!D21="","",'SOFR Inputs'!D21)</x:f>
      </x:c>
      <x:c r="F21" t="str">
        <x:f>IF(E21="","",D21*E21)</x:f>
      </x:c>
      <x:c r="G21" t="str">
        <x:f>IF(F21="","",B21*F21)</x:f>
      </x:c>
      <x:c r="H21" t="str">
        <x:f>IF(COUNT($E$6:E21)&lt;ROWS($E$6:E21),"",SUM($F$6:F21))</x:f>
      </x:c>
      <x:c r="I21" s="61" t="str">
        <x:f>IF(H21="","",SUM($G$6:G21)/H21)</x:f>
      </x:c>
    </x:row>
    <x:row r="22">
      <x:c r="A22" t="str">
        <x:v>3Y</x:v>
      </x:c>
      <x:c r="B22" s="62" t="n">
        <x:f>'30 Sep 2026'!B22</x:f>
        <x:v>171</x:v>
      </x:c>
      <x:c r="C22" s="95" t="n">
        <x:v>3</x:v>
      </x:c>
      <x:c r="D22" s="95" t="n">
        <x:f>C22-C21</x:f>
        <x:v>1</x:v>
      </x:c>
      <x:c r="E22" s="101" t="str">
        <x:f>IF('SOFR Inputs'!D22="","",'SOFR Inputs'!D22)</x:f>
      </x:c>
      <x:c r="F22" t="str">
        <x:f>IF(E22="","",D22*E22)</x:f>
      </x:c>
      <x:c r="G22" t="str">
        <x:f>IF(F22="","",B22*F22)</x:f>
      </x:c>
      <x:c r="H22" t="str">
        <x:f>IF(COUNT($E$6:E22)&lt;ROWS($E$6:E22),"",SUM($F$6:F22))</x:f>
      </x:c>
      <x:c r="I22" s="61" t="str">
        <x:f>IF(H22="","",SUM($G$6:G22)/H22)</x:f>
      </x:c>
    </x:row>
    <x:row r="23">
      <x:c r="A23" t="str">
        <x:v>4Y</x:v>
      </x:c>
      <x:c r="B23" s="62" t="n">
        <x:f>'30 Sep 2026'!B23</x:f>
        <x:v>171</x:v>
      </x:c>
      <x:c r="C23" s="95" t="n">
        <x:v>4</x:v>
      </x:c>
      <x:c r="D23" s="95" t="n">
        <x:f>C23-C22</x:f>
        <x:v>1</x:v>
      </x:c>
      <x:c r="E23" s="101" t="str">
        <x:f>IF('SOFR Inputs'!D23="","",'SOFR Inputs'!D23)</x:f>
      </x:c>
      <x:c r="F23" t="str">
        <x:f>IF(E23="","",D23*E23)</x:f>
      </x:c>
      <x:c r="G23" t="str">
        <x:f>IF(F23="","",B23*F23)</x:f>
      </x:c>
      <x:c r="H23" t="str">
        <x:f>IF(COUNT($E$6:E23)&lt;ROWS($E$6:E23),"",SUM($F$6:F23))</x:f>
      </x:c>
      <x:c r="I23" s="61" t="str">
        <x:f>IF(H23="","",SUM($G$6:G23)/H23)</x:f>
      </x:c>
    </x:row>
    <x:row r="24">
      <x:c r="A24" t="str">
        <x:v>5Y</x:v>
      </x:c>
      <x:c r="B24" s="62" t="n">
        <x:f>'30 Sep 2026'!B24</x:f>
        <x:v>171</x:v>
      </x:c>
      <x:c r="C24" s="95" t="n">
        <x:v>5</x:v>
      </x:c>
      <x:c r="D24" s="95" t="n">
        <x:f>C24-C23</x:f>
        <x:v>1</x:v>
      </x:c>
      <x:c r="E24" s="101" t="str">
        <x:f>IF('SOFR Inputs'!D24="","",'SOFR Inputs'!D24)</x:f>
      </x:c>
      <x:c r="F24" t="str">
        <x:f>IF(E24="","",D24*E24)</x:f>
      </x:c>
      <x:c r="G24" t="str">
        <x:f>IF(F24="","",B24*F24)</x:f>
      </x:c>
      <x:c r="H24" t="str">
        <x:f>IF(COUNT($E$6:E24)&lt;ROWS($E$6:E24),"",SUM($F$6:F24))</x:f>
      </x:c>
      <x:c r="I24" s="61" t="str">
        <x:f>IF(H24="","",SUM($G$6:G24)/H24)</x:f>
      </x:c>
    </x:row>
    <x:row r="25">
      <x:c r="A25" t="str">
        <x:v>6Y</x:v>
      </x:c>
      <x:c r="B25" s="62" t="n">
        <x:f>'30 Sep 2026'!B25</x:f>
        <x:v>151</x:v>
      </x:c>
      <x:c r="C25" s="95" t="n">
        <x:v>6</x:v>
      </x:c>
      <x:c r="D25" s="95" t="n">
        <x:f>C25-C24</x:f>
        <x:v>1</x:v>
      </x:c>
      <x:c r="E25" s="101" t="str">
        <x:f>IF('SOFR Inputs'!D25="","",'SOFR Inputs'!D25)</x:f>
      </x:c>
      <x:c r="F25" t="str">
        <x:f>IF(E25="","",D25*E25)</x:f>
      </x:c>
      <x:c r="G25" t="str">
        <x:f>IF(F25="","",B25*F25)</x:f>
      </x:c>
      <x:c r="H25" t="str">
        <x:f>IF(COUNT($E$6:E25)&lt;ROWS($E$6:E25),"",SUM($F$6:F25))</x:f>
      </x:c>
      <x:c r="I25" s="61" t="str">
        <x:f>IF(H25="","",SUM($G$6:G25)/H25)</x:f>
      </x:c>
    </x:row>
    <x:row r="26">
      <x:c r="A26" t="str">
        <x:v>7Y</x:v>
      </x:c>
      <x:c r="B26" s="62" t="n">
        <x:f>'30 Sep 2026'!B26</x:f>
        <x:v>151</x:v>
      </x:c>
      <x:c r="C26" s="95" t="n">
        <x:v>7</x:v>
      </x:c>
      <x:c r="D26" s="95" t="n">
        <x:f>C26-C25</x:f>
        <x:v>1</x:v>
      </x:c>
      <x:c r="E26" s="101" t="str">
        <x:f>IF('SOFR Inputs'!D26="","",'SOFR Inputs'!D26)</x:f>
      </x:c>
      <x:c r="F26" t="str">
        <x:f>IF(E26="","",D26*E26)</x:f>
      </x:c>
      <x:c r="G26" t="str">
        <x:f>IF(F26="","",B26*F26)</x:f>
      </x:c>
      <x:c r="H26" t="str">
        <x:f>IF(COUNT($E$6:E26)&lt;ROWS($E$6:E26),"",SUM($F$6:F26))</x:f>
      </x:c>
      <x:c r="I26" s="61" t="str">
        <x:f>IF(H26="","",SUM($G$6:G26)/H26)</x:f>
      </x:c>
    </x:row>
    <x:row r="27">
      <x:c r="A27" t="str">
        <x:v>8Y</x:v>
      </x:c>
      <x:c r="B27" s="62" t="n">
        <x:f>'30 Sep 2026'!B27</x:f>
        <x:v>151</x:v>
      </x:c>
      <x:c r="C27" s="95" t="n">
        <x:v>8</x:v>
      </x:c>
      <x:c r="D27" s="95" t="n">
        <x:f>C27-C26</x:f>
        <x:v>1</x:v>
      </x:c>
      <x:c r="E27" s="101" t="str">
        <x:f>IF('SOFR Inputs'!D27="","",'SOFR Inputs'!D27)</x:f>
      </x:c>
      <x:c r="F27" t="str">
        <x:f>IF(E27="","",D27*E27)</x:f>
      </x:c>
      <x:c r="G27" t="str">
        <x:f>IF(F27="","",B27*F27)</x:f>
      </x:c>
      <x:c r="H27" t="str">
        <x:f>IF(COUNT($E$6:E27)&lt;ROWS($E$6:E27),"",SUM($F$6:F27))</x:f>
      </x:c>
      <x:c r="I27" s="61" t="str">
        <x:f>IF(H27="","",SUM($G$6:G27)/H27)</x:f>
      </x:c>
    </x:row>
    <x:row r="28">
      <x:c r="A28" t="str">
        <x:v>9Y</x:v>
      </x:c>
      <x:c r="B28" s="62" t="n">
        <x:f>'30 Sep 2026'!B28</x:f>
        <x:v>151</x:v>
      </x:c>
      <x:c r="C28" s="95" t="n">
        <x:v>9</x:v>
      </x:c>
      <x:c r="D28" s="95" t="n">
        <x:f>C28-C27</x:f>
        <x:v>1</x:v>
      </x:c>
      <x:c r="E28" s="101" t="str">
        <x:f>IF('SOFR Inputs'!D28="","",'SOFR Inputs'!D28)</x:f>
      </x:c>
      <x:c r="F28" t="str">
        <x:f>IF(E28="","",D28*E28)</x:f>
      </x:c>
      <x:c r="G28" t="str">
        <x:f>IF(F28="","",B28*F28)</x:f>
      </x:c>
      <x:c r="H28" t="str">
        <x:f>IF(COUNT($E$6:E28)&lt;ROWS($E$6:E28),"",SUM($F$6:F28))</x:f>
      </x:c>
      <x:c r="I28" s="61" t="str">
        <x:f>IF(H28="","",SUM($G$6:G28)/H28)</x:f>
      </x:c>
    </x:row>
    <x:row r="29">
      <x:c r="A29" t="str">
        <x:v>10Y</x:v>
      </x:c>
      <x:c r="B29" s="62" t="n">
        <x:f>'30 Sep 2026'!B29</x:f>
        <x:v>151</x:v>
      </x:c>
      <x:c r="C29" s="95" t="n">
        <x:v>10</x:v>
      </x:c>
      <x:c r="D29" s="95" t="n">
        <x:f>C29-C28</x:f>
        <x:v>1</x:v>
      </x:c>
      <x:c r="E29" s="101" t="str">
        <x:f>IF('SOFR Inputs'!D29="","",'SOFR Inputs'!D29)</x:f>
      </x:c>
      <x:c r="F29" t="str">
        <x:f>IF(E29="","",D29*E29)</x:f>
      </x:c>
      <x:c r="G29" t="str">
        <x:f>IF(F29="","",B29*F29)</x:f>
      </x:c>
      <x:c r="H29" t="str">
        <x:f>IF(COUNT($E$6:E29)&lt;ROWS($E$6:E29),"",SUM($F$6:F29))</x:f>
      </x:c>
      <x:c r="I29" s="61" t="str">
        <x:f>IF(H29="","",SUM($G$6:G29)/H29)</x:f>
      </x:c>
    </x:row>
    <x:row r="30">
      <x:c r="A30" t="str">
        <x:v>12Y</x:v>
      </x:c>
      <x:c r="B30" s="62" t="n">
        <x:f>'30 Sep 2026'!B30</x:f>
        <x:v>151</x:v>
      </x:c>
      <x:c r="C30" s="95" t="n">
        <x:v>12</x:v>
      </x:c>
      <x:c r="D30" s="95" t="n">
        <x:f>C30-C29</x:f>
        <x:v>2</x:v>
      </x:c>
      <x:c r="E30" s="101" t="str">
        <x:f>IF('SOFR Inputs'!D30="","",'SOFR Inputs'!D30)</x:f>
      </x:c>
      <x:c r="F30" t="str">
        <x:f>IF(E30="","",D30*E30)</x:f>
      </x:c>
      <x:c r="G30" t="str">
        <x:f>IF(F30="","",B30*F30)</x:f>
      </x:c>
      <x:c r="H30" t="str">
        <x:f>IF(COUNT($E$6:E30)&lt;ROWS($E$6:E30),"",SUM($F$6:F30))</x:f>
      </x:c>
      <x:c r="I30" s="61" t="str">
        <x:f>IF(H30="","",SUM($G$6:G30)/H30)</x:f>
      </x:c>
    </x:row>
    <x:row r="31">
      <x:c r="A31" t="str">
        <x:v>15Y</x:v>
      </x:c>
      <x:c r="B31" s="62" t="n">
        <x:f>'30 Sep 2026'!B31</x:f>
        <x:v>151</x:v>
      </x:c>
      <x:c r="C31" s="95" t="n">
        <x:v>15</x:v>
      </x:c>
      <x:c r="D31" s="95" t="n">
        <x:f>C31-C30</x:f>
        <x:v>3</x:v>
      </x:c>
      <x:c r="E31" s="101" t="str">
        <x:f>IF('SOFR Inputs'!D31="","",'SOFR Inputs'!D31)</x:f>
      </x:c>
      <x:c r="F31" t="str">
        <x:f>IF(E31="","",D31*E31)</x:f>
      </x:c>
      <x:c r="G31" t="str">
        <x:f>IF(F31="","",B31*F31)</x:f>
      </x:c>
      <x:c r="H31" t="str">
        <x:f>IF(COUNT($E$6:E31)&lt;ROWS($E$6:E31),"",SUM($F$6:F31))</x:f>
      </x:c>
      <x:c r="I31" s="61" t="str">
        <x:f>IF(H31="","",SUM($G$6:G31)/H31)</x:f>
      </x:c>
    </x:row>
    <x:row r="32">
      <x:c r="A32" t="str">
        <x:v>20Y</x:v>
      </x:c>
      <x:c r="B32" s="62" t="n">
        <x:f>'30 Sep 2026'!B32</x:f>
        <x:v>151</x:v>
      </x:c>
      <x:c r="C32" s="95" t="n">
        <x:v>20</x:v>
      </x:c>
      <x:c r="D32" s="95" t="n">
        <x:f>C32-C31</x:f>
        <x:v>5</x:v>
      </x:c>
      <x:c r="E32" s="101" t="str">
        <x:f>IF('SOFR Inputs'!D32="","",'SOFR Inputs'!D32)</x:f>
      </x:c>
      <x:c r="F32" t="str">
        <x:f>IF(E32="","",D32*E32)</x:f>
      </x:c>
      <x:c r="G32" t="str">
        <x:f>IF(F32="","",B32*F32)</x:f>
      </x:c>
      <x:c r="H32" t="str">
        <x:f>IF(COUNT($E$6:E32)&lt;ROWS($E$6:E32),"",SUM($F$6:F32))</x:f>
      </x:c>
      <x:c r="I32" s="61" t="str">
        <x:f>IF(H32="","",SUM($G$6:G32)/H32)</x:f>
      </x:c>
    </x:row>
    <x:row r="33">
      <x:c r="A33" t="str">
        <x:v>25Y</x:v>
      </x:c>
      <x:c r="B33" s="62" t="n">
        <x:f>'30 Sep 2026'!B33</x:f>
        <x:v>151</x:v>
      </x:c>
      <x:c r="C33" s="95" t="n">
        <x:v>25</x:v>
      </x:c>
      <x:c r="D33" s="95" t="n">
        <x:f>C33-C32</x:f>
        <x:v>5</x:v>
      </x:c>
      <x:c r="E33" s="101" t="str">
        <x:f>IF('SOFR Inputs'!D33="","",'SOFR Inputs'!D33)</x:f>
      </x:c>
      <x:c r="F33" t="str">
        <x:f>IF(E33="","",D33*E33)</x:f>
      </x:c>
      <x:c r="G33" t="str">
        <x:f>IF(F33="","",B33*F33)</x:f>
      </x:c>
      <x:c r="H33" t="str">
        <x:f>IF(COUNT($E$6:E33)&lt;ROWS($E$6:E33),"",SUM($F$6:F33))</x:f>
      </x:c>
      <x:c r="I33" s="61" t="str">
        <x:f>IF(H33="","",SUM($G$6:G33)/H33)</x:f>
      </x:c>
    </x:row>
    <x:row r="34">
      <x:c r="A34" t="str">
        <x:v>30Y</x:v>
      </x:c>
      <x:c r="B34" s="62" t="n">
        <x:f>'30 Sep 2026'!B34</x:f>
        <x:v>151</x:v>
      </x:c>
      <x:c r="C34" s="95" t="n">
        <x:v>30</x:v>
      </x:c>
      <x:c r="D34" s="95" t="n">
        <x:f>C34-C33</x:f>
        <x:v>5</x:v>
      </x:c>
      <x:c r="E34" s="101" t="str">
        <x:f>IF('SOFR Inputs'!D34="","",'SOFR Inputs'!D34)</x:f>
      </x:c>
      <x:c r="F34" t="str">
        <x:f>IF(E34="","",D34*E34)</x:f>
      </x:c>
      <x:c r="G34" t="str">
        <x:f>IF(F34="","",B34*F34)</x:f>
      </x:c>
      <x:c r="H34" t="str">
        <x:f>IF(COUNT($E$6:E34)&lt;ROWS($E$6:E34),"",SUM($F$6:F34))</x:f>
      </x:c>
      <x:c r="I34" s="61" t="str">
        <x:f>IF(H34="","",SUM($G$6:G34)/H34)</x:f>
      </x:c>
    </x:row>
    <x:row r="35">
      <x:c r="A35" t="str">
        <x:v>40Y</x:v>
      </x:c>
      <x:c r="B35" s="62" t="n">
        <x:f>'30 Sep 2026'!B35</x:f>
        <x:v>151</x:v>
      </x:c>
      <x:c r="C35" s="95" t="n">
        <x:v>40</x:v>
      </x:c>
      <x:c r="D35" s="95" t="n">
        <x:f>C35-C34</x:f>
        <x:v>10</x:v>
      </x:c>
      <x:c r="E35" s="101" t="str">
        <x:f>IF('SOFR Inputs'!D35="","",'SOFR Inputs'!D35)</x:f>
      </x:c>
      <x:c r="F35" t="str">
        <x:f>IF(E35="","",D35*E35)</x:f>
      </x:c>
      <x:c r="G35" t="str">
        <x:f>IF(F35="","",B35*F35)</x:f>
      </x:c>
      <x:c r="H35" t="str">
        <x:f>IF(COUNT($E$6:E35)&lt;ROWS($E$6:E35),"",SUM($F$6:F35))</x:f>
      </x:c>
      <x:c r="I35" s="61" t="str">
        <x:f>IF(H35="","",SUM($G$6:G35)/H35)</x:f>
      </x:c>
    </x:row>
    <x:row r="36">
      <x:c r="A36" t="str">
        <x:v>50Y</x:v>
      </x:c>
      <x:c r="B36" s="62" t="n">
        <x:f>'30 Sep 2026'!B36</x:f>
        <x:v>151</x:v>
      </x:c>
      <x:c r="C36" s="95" t="n">
        <x:v>50</x:v>
      </x:c>
      <x:c r="D36" s="95" t="n">
        <x:f>C36-C35</x:f>
        <x:v>10</x:v>
      </x:c>
      <x:c r="E36" s="101" t="str">
        <x:f>IF('SOFR Inputs'!D36="","",'SOFR Inputs'!D36)</x:f>
      </x:c>
      <x:c r="F36" t="str">
        <x:f>IF(E36="","",D36*E36)</x:f>
      </x:c>
      <x:c r="G36" t="str">
        <x:f>IF(F36="","",B36*F36)</x:f>
      </x:c>
      <x:c r="H36" t="str">
        <x:f>IF(COUNT($E$6:E36)&lt;ROWS($E$6:E36),"",SUM($F$6:F36))</x:f>
      </x:c>
      <x:c r="I36" s="61" t="str">
        <x:f>IF(H36="","",SUM($G$6:G36)/H36)</x:f>
      </x:c>
    </x:row>
  </x:sheetData>
  <x:mergeCells>
    <x:mergeCell ref="A1:I1"/>
    <x:mergeCell ref="A2:I2"/>
    <x:mergeCell ref="A3:I3"/>
    <x:mergeCell ref="A4:I4"/>
  </x:mergeCells>
  <x:pageMargins left="0.7" right="0.7" top="0.75" bottom="0.75" header="0.3" footer="0.3"/>
</x:worksheet>
</file>